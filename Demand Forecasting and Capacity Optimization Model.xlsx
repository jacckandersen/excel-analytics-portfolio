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purdue0-my.sharepoint.com/personal/ande1541_purdue_edu/Documents/"/>
    </mc:Choice>
  </mc:AlternateContent>
  <xr:revisionPtr revIDLastSave="0" documentId="8_{9FB7F047-5EF3-4A2C-825B-39ED2D726F22}" xr6:coauthVersionLast="47" xr6:coauthVersionMax="47" xr10:uidLastSave="{00000000-0000-0000-0000-000000000000}"/>
  <bookViews>
    <workbookView xWindow="-98" yWindow="-98" windowWidth="21795" windowHeight="12975" tabRatio="500" xr2:uid="{00000000-000D-0000-FFFF-FFFF00000000}"/>
  </bookViews>
  <sheets>
    <sheet name="Dashboard" sheetId="1" r:id="rId1"/>
    <sheet name="RSXFS" sheetId="2" r:id="rId2"/>
    <sheet name="Sheet2" sheetId="3" r:id="rId3"/>
    <sheet name="_ChartData" sheetId="4" state="hidden"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1" i="1" l="1"/>
  <c r="G3" i="1"/>
  <c r="L3" i="1" s="1"/>
  <c r="C2" i="2"/>
  <c r="C3" i="2" s="1"/>
  <c r="C4" i="2" s="1"/>
  <c r="C5" i="2" s="1"/>
  <c r="C6" i="2" s="1"/>
  <c r="C7" i="2" s="1"/>
  <c r="C8" i="2" s="1"/>
  <c r="C9" i="2" s="1"/>
  <c r="C10" i="2" s="1"/>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5" i="2" s="1"/>
  <c r="C36" i="2" s="1"/>
  <c r="C37" i="2" s="1"/>
  <c r="C38" i="2" s="1"/>
  <c r="C39" i="2" s="1"/>
  <c r="C40" i="2" s="1"/>
  <c r="C41" i="2" s="1"/>
  <c r="C42" i="2" s="1"/>
  <c r="C43" i="2" s="1"/>
  <c r="C44" i="2" s="1"/>
  <c r="C45" i="2" s="1"/>
  <c r="C46" i="2" s="1"/>
  <c r="C47" i="2" s="1"/>
  <c r="C48" i="2" s="1"/>
  <c r="C49" i="2" s="1"/>
  <c r="C50" i="2" s="1"/>
  <c r="C51" i="2" s="1"/>
  <c r="C52" i="2" s="1"/>
  <c r="C53" i="2" s="1"/>
  <c r="C54" i="2" s="1"/>
  <c r="C55" i="2" s="1"/>
  <c r="C56" i="2" s="1"/>
  <c r="C57" i="2" s="1"/>
  <c r="C58" i="2" s="1"/>
  <c r="C59" i="2" s="1"/>
  <c r="C60" i="2" s="1"/>
  <c r="C61" i="2" s="1"/>
  <c r="C62" i="2" s="1"/>
  <c r="C63" i="2" s="1"/>
  <c r="C64" i="2" s="1"/>
  <c r="C65" i="2" s="1"/>
  <c r="C66" i="2" s="1"/>
  <c r="C67" i="2" s="1"/>
  <c r="C68" i="2" s="1"/>
  <c r="C69" i="2" s="1"/>
  <c r="C70" i="2" s="1"/>
  <c r="C71" i="2" s="1"/>
  <c r="C72" i="2" s="1"/>
  <c r="C73" i="2" s="1"/>
  <c r="C74" i="2" s="1"/>
  <c r="C75" i="2" s="1"/>
  <c r="C76" i="2" s="1"/>
  <c r="C77" i="2" s="1"/>
  <c r="C78" i="2" s="1"/>
  <c r="C79" i="2" s="1"/>
  <c r="C80" i="2" s="1"/>
  <c r="C81" i="2" s="1"/>
  <c r="C82" i="2" s="1"/>
  <c r="C83" i="2" s="1"/>
  <c r="C84" i="2" s="1"/>
  <c r="C85" i="2" s="1"/>
  <c r="C86" i="2" s="1"/>
  <c r="C87" i="2" s="1"/>
  <c r="C88" i="2" s="1"/>
  <c r="C89" i="2" s="1"/>
  <c r="C90" i="2" s="1"/>
  <c r="C91" i="2" s="1"/>
  <c r="C92" i="2" s="1"/>
  <c r="C93" i="2" s="1"/>
  <c r="C94" i="2" s="1"/>
  <c r="C95" i="2" s="1"/>
  <c r="C96" i="2" s="1"/>
  <c r="C97" i="2" s="1"/>
  <c r="C98" i="2" s="1"/>
  <c r="C99" i="2" s="1"/>
  <c r="C100" i="2" s="1"/>
  <c r="C101" i="2" s="1"/>
  <c r="C102" i="2" s="1"/>
  <c r="C103" i="2" s="1"/>
  <c r="C104" i="2" s="1"/>
  <c r="C105" i="2" s="1"/>
  <c r="C106" i="2" s="1"/>
  <c r="C107" i="2" s="1"/>
  <c r="C108" i="2" s="1"/>
  <c r="C109" i="2" s="1"/>
  <c r="C110" i="2" s="1"/>
  <c r="C111" i="2" s="1"/>
  <c r="C112" i="2" s="1"/>
  <c r="C113" i="2" s="1"/>
  <c r="C114" i="2" s="1"/>
  <c r="C115" i="2" s="1"/>
  <c r="C116" i="2" s="1"/>
  <c r="C117" i="2" s="1"/>
  <c r="C118" i="2" s="1"/>
  <c r="C119" i="2" s="1"/>
  <c r="C120" i="2" s="1"/>
  <c r="C121" i="2" s="1"/>
  <c r="C122" i="2" s="1"/>
  <c r="C123" i="2" s="1"/>
  <c r="C124" i="2" s="1"/>
  <c r="C125" i="2" s="1"/>
  <c r="C126" i="2" s="1"/>
  <c r="C127" i="2" s="1"/>
  <c r="C128" i="2" s="1"/>
  <c r="C129" i="2" s="1"/>
  <c r="C130" i="2" s="1"/>
  <c r="C131" i="2" s="1"/>
  <c r="C132" i="2" s="1"/>
  <c r="C133" i="2" s="1"/>
  <c r="C134" i="2" s="1"/>
  <c r="C135" i="2" s="1"/>
  <c r="C136" i="2" s="1"/>
  <c r="C137" i="2" s="1"/>
  <c r="C138" i="2" s="1"/>
  <c r="C139" i="2" s="1"/>
  <c r="C140" i="2" s="1"/>
  <c r="C141" i="2" s="1"/>
  <c r="C142" i="2" s="1"/>
  <c r="C143" i="2" s="1"/>
  <c r="C144" i="2" s="1"/>
  <c r="C145" i="2" s="1"/>
  <c r="C146" i="2" s="1"/>
  <c r="C147" i="2" s="1"/>
  <c r="C148" i="2" s="1"/>
  <c r="C149" i="2" s="1"/>
  <c r="C150" i="2" s="1"/>
  <c r="C151" i="2" s="1"/>
  <c r="C152" i="2" s="1"/>
  <c r="C153" i="2" s="1"/>
  <c r="C154" i="2" s="1"/>
  <c r="C155" i="2" s="1"/>
  <c r="C156" i="2" s="1"/>
  <c r="C157" i="2" s="1"/>
  <c r="C158" i="2" s="1"/>
  <c r="C159" i="2" s="1"/>
  <c r="C160" i="2" s="1"/>
  <c r="C161" i="2" s="1"/>
  <c r="C162" i="2" s="1"/>
  <c r="C163" i="2" s="1"/>
  <c r="C164" i="2" s="1"/>
  <c r="C165" i="2" s="1"/>
  <c r="C166" i="2" s="1"/>
  <c r="C167" i="2" s="1"/>
  <c r="C168" i="2" s="1"/>
  <c r="C169" i="2" s="1"/>
  <c r="C170" i="2" s="1"/>
  <c r="C171" i="2" s="1"/>
  <c r="C172" i="2" s="1"/>
  <c r="C173" i="2" s="1"/>
  <c r="C174" i="2" s="1"/>
  <c r="C175" i="2" s="1"/>
  <c r="C176" i="2" s="1"/>
  <c r="C177" i="2" s="1"/>
  <c r="C178" i="2" s="1"/>
  <c r="C179" i="2" s="1"/>
  <c r="C180" i="2" s="1"/>
  <c r="C181" i="2" s="1"/>
  <c r="C182" i="2" s="1"/>
  <c r="C183" i="2" s="1"/>
  <c r="C184" i="2" s="1"/>
  <c r="C185" i="2" s="1"/>
  <c r="C186" i="2" s="1"/>
  <c r="C187" i="2" s="1"/>
  <c r="C188" i="2" s="1"/>
  <c r="C189" i="2" s="1"/>
  <c r="C190" i="2" s="1"/>
  <c r="C191" i="2" s="1"/>
  <c r="C192" i="2" s="1"/>
  <c r="C193" i="2" s="1"/>
  <c r="C194" i="2" s="1"/>
  <c r="C195" i="2" s="1"/>
  <c r="C196" i="2" s="1"/>
  <c r="C197" i="2" s="1"/>
  <c r="C198" i="2" s="1"/>
  <c r="C199" i="2" s="1"/>
  <c r="C200" i="2" s="1"/>
  <c r="C201" i="2" s="1"/>
  <c r="C202" i="2" s="1"/>
  <c r="C203" i="2" s="1"/>
  <c r="C204" i="2" s="1"/>
  <c r="C205" i="2" s="1"/>
  <c r="C206" i="2" s="1"/>
  <c r="C207" i="2" s="1"/>
  <c r="C208" i="2" s="1"/>
  <c r="C209" i="2" s="1"/>
  <c r="C210" i="2" s="1"/>
  <c r="C211" i="2" s="1"/>
  <c r="C212" i="2" s="1"/>
  <c r="C213" i="2" s="1"/>
  <c r="C214" i="2" s="1"/>
  <c r="C215" i="2" s="1"/>
  <c r="C216" i="2" s="1"/>
  <c r="C217" i="2" s="1"/>
  <c r="C218" i="2" s="1"/>
  <c r="C219" i="2" s="1"/>
  <c r="C220" i="2" s="1"/>
  <c r="C221" i="2" s="1"/>
  <c r="C222" i="2" s="1"/>
  <c r="C223" i="2" s="1"/>
  <c r="C224" i="2" s="1"/>
  <c r="C225" i="2" s="1"/>
  <c r="C226" i="2" s="1"/>
  <c r="C227" i="2" s="1"/>
  <c r="C228" i="2" s="1"/>
  <c r="C229" i="2" s="1"/>
  <c r="C230" i="2" s="1"/>
  <c r="C231" i="2" s="1"/>
  <c r="C232" i="2" s="1"/>
  <c r="C233" i="2" s="1"/>
  <c r="C234" i="2" s="1"/>
  <c r="C235" i="2" s="1"/>
  <c r="C236" i="2" s="1"/>
  <c r="C237" i="2" s="1"/>
  <c r="C238" i="2" s="1"/>
  <c r="C239" i="2" s="1"/>
  <c r="C240" i="2" s="1"/>
  <c r="C241" i="2" s="1"/>
  <c r="C242" i="2" s="1"/>
  <c r="C243" i="2" s="1"/>
  <c r="C244" i="2" s="1"/>
  <c r="C245" i="2" s="1"/>
  <c r="C246" i="2" s="1"/>
  <c r="C247" i="2" s="1"/>
  <c r="C248" i="2" s="1"/>
  <c r="C249" i="2" s="1"/>
  <c r="C250" i="2" s="1"/>
  <c r="C251" i="2" s="1"/>
  <c r="C252" i="2" s="1"/>
  <c r="C253" i="2" s="1"/>
  <c r="C254" i="2" s="1"/>
  <c r="C255" i="2" s="1"/>
  <c r="C256" i="2" s="1"/>
  <c r="C257" i="2" s="1"/>
  <c r="C258" i="2" s="1"/>
  <c r="C259" i="2" s="1"/>
  <c r="C260" i="2" s="1"/>
  <c r="C261" i="2" s="1"/>
  <c r="C262" i="2" s="1"/>
  <c r="C263" i="2" s="1"/>
  <c r="C264" i="2" s="1"/>
  <c r="C265" i="2" s="1"/>
  <c r="C266" i="2" s="1"/>
  <c r="C267" i="2" s="1"/>
  <c r="C268" i="2" s="1"/>
  <c r="C269" i="2" s="1"/>
  <c r="C270" i="2" s="1"/>
  <c r="C271" i="2" s="1"/>
  <c r="C272" i="2" s="1"/>
  <c r="C273" i="2" s="1"/>
  <c r="C274" i="2" s="1"/>
  <c r="C275" i="2" s="1"/>
  <c r="C276" i="2" s="1"/>
  <c r="C277" i="2" s="1"/>
  <c r="C278" i="2" s="1"/>
  <c r="C279" i="2" s="1"/>
  <c r="C280" i="2" s="1"/>
  <c r="C281" i="2" s="1"/>
  <c r="C282" i="2" s="1"/>
  <c r="C283" i="2" s="1"/>
  <c r="C284" i="2" s="1"/>
  <c r="C285" i="2" s="1"/>
  <c r="C286" i="2" s="1"/>
  <c r="C287" i="2" s="1"/>
  <c r="C288" i="2" s="1"/>
  <c r="C289" i="2" s="1"/>
  <c r="C290" i="2" s="1"/>
  <c r="C291" i="2" s="1"/>
  <c r="C292" i="2" s="1"/>
  <c r="C293" i="2" s="1"/>
  <c r="C294" i="2" s="1"/>
  <c r="C295" i="2" s="1"/>
  <c r="C296" i="2" s="1"/>
  <c r="C297" i="2" s="1"/>
  <c r="C298" i="2" s="1"/>
  <c r="C299" i="2" s="1"/>
  <c r="C300" i="2" s="1"/>
  <c r="C301" i="2" s="1"/>
  <c r="C302" i="2" s="1"/>
  <c r="C303" i="2" s="1"/>
  <c r="C304" i="2" s="1"/>
  <c r="C305" i="2" s="1"/>
  <c r="C306" i="2" s="1"/>
  <c r="C307" i="2" s="1"/>
  <c r="C308" i="2" s="1"/>
  <c r="C309" i="2" s="1"/>
  <c r="C310" i="2" s="1"/>
  <c r="C311" i="2" s="1"/>
  <c r="C312" i="2" s="1"/>
  <c r="C313" i="2" s="1"/>
  <c r="C314" i="2" s="1"/>
  <c r="C315" i="2" s="1"/>
  <c r="C316" i="2" s="1"/>
  <c r="C317" i="2" s="1"/>
  <c r="C318" i="2" s="1"/>
  <c r="C319" i="2" s="1"/>
  <c r="C320" i="2" s="1"/>
  <c r="C321" i="2" s="1"/>
  <c r="C322" i="2" s="1"/>
  <c r="C323" i="2" s="1"/>
  <c r="C324" i="2" s="1"/>
  <c r="C325" i="2" s="1"/>
  <c r="C326" i="2" s="1"/>
  <c r="C327" i="2" s="1"/>
  <c r="C328" i="2" s="1"/>
  <c r="C329" i="2" s="1"/>
  <c r="C330" i="2" s="1"/>
  <c r="C331" i="2" s="1"/>
  <c r="C332" i="2" s="1"/>
  <c r="C333" i="2" s="1"/>
  <c r="C334" i="2" s="1"/>
  <c r="C335" i="2" s="1"/>
  <c r="C336" i="2" s="1"/>
  <c r="C337" i="2" s="1"/>
  <c r="C338" i="2" s="1"/>
  <c r="C339" i="2" s="1"/>
  <c r="C340" i="2" s="1"/>
  <c r="C341" i="2" s="1"/>
  <c r="C342" i="2" s="1"/>
  <c r="C343" i="2" s="1"/>
  <c r="C344" i="2" s="1"/>
  <c r="C345" i="2" s="1"/>
  <c r="C346" i="2" s="1"/>
  <c r="C347" i="2" s="1"/>
  <c r="C348" i="2" s="1"/>
  <c r="C349" i="2" s="1"/>
  <c r="C350" i="2" s="1"/>
  <c r="C351" i="2" s="1"/>
  <c r="C352" i="2" s="1"/>
  <c r="C353" i="2" s="1"/>
  <c r="C354" i="2" s="1"/>
  <c r="C355" i="2" s="1"/>
  <c r="C356" i="2" s="1"/>
  <c r="C357" i="2" s="1"/>
  <c r="C358" i="2" s="1"/>
  <c r="C359" i="2" s="1"/>
  <c r="C360" i="2" s="1"/>
  <c r="C361" i="2" s="1"/>
  <c r="C362" i="2" s="1"/>
  <c r="C363" i="2" s="1"/>
  <c r="C364" i="2" s="1"/>
  <c r="C365" i="2" s="1"/>
  <c r="C366" i="2" s="1"/>
  <c r="C367" i="2" s="1"/>
  <c r="C368" i="2" s="1"/>
  <c r="C369" i="2" s="1"/>
  <c r="C370" i="2" s="1"/>
  <c r="C371" i="2" s="1"/>
  <c r="C372" i="2" s="1"/>
  <c r="C373" i="2" s="1"/>
  <c r="C374" i="2" s="1"/>
  <c r="C375" i="2" s="1"/>
  <c r="C376" i="2" s="1"/>
  <c r="C377" i="2" s="1"/>
  <c r="C378" i="2" s="1"/>
  <c r="C379" i="2" s="1"/>
  <c r="C380" i="2" s="1"/>
  <c r="C381" i="2" s="1"/>
  <c r="C382" i="2" s="1"/>
  <c r="C383" i="2" s="1"/>
  <c r="C384" i="2" s="1"/>
  <c r="C385" i="2" s="1"/>
  <c r="C386" i="2" s="1"/>
  <c r="C387" i="2" s="1"/>
  <c r="C388" i="2" s="1"/>
  <c r="C389" i="2" s="1"/>
  <c r="C390" i="2" s="1"/>
  <c r="C391" i="2" s="1"/>
  <c r="C392" i="2" s="1"/>
  <c r="C393" i="2" s="1"/>
  <c r="C394" i="2" s="1"/>
  <c r="C395" i="2" s="1"/>
  <c r="C396" i="2" s="1"/>
  <c r="C397" i="2" s="1"/>
  <c r="C398" i="2" s="1"/>
  <c r="C399" i="2" s="1"/>
  <c r="C400" i="2" s="1"/>
  <c r="C401" i="2" s="1"/>
  <c r="C402" i="2" s="1"/>
  <c r="C403" i="2" s="1"/>
  <c r="C404" i="2" s="1"/>
  <c r="S5" i="1"/>
  <c r="H4" i="1"/>
  <c r="C435" i="1"/>
  <c r="C477" i="1"/>
  <c r="C427" i="1"/>
  <c r="C413" i="1"/>
  <c r="C443" i="1"/>
  <c r="C448" i="1"/>
  <c r="C420" i="1"/>
  <c r="C447" i="1"/>
  <c r="C480" i="1"/>
  <c r="C439" i="1"/>
  <c r="C483" i="1"/>
  <c r="C466" i="1"/>
  <c r="C433" i="1"/>
  <c r="C459" i="1"/>
  <c r="C412" i="1"/>
  <c r="C470" i="1"/>
  <c r="C489" i="1"/>
  <c r="C428" i="1"/>
  <c r="C406" i="1"/>
  <c r="C457" i="1"/>
  <c r="C445" i="1"/>
  <c r="C451" i="1"/>
  <c r="C425" i="1"/>
  <c r="C440" i="1"/>
  <c r="C488" i="1"/>
  <c r="C407" i="1"/>
  <c r="C492" i="1"/>
  <c r="C438" i="1"/>
  <c r="C442" i="1"/>
  <c r="C429" i="1"/>
  <c r="C456" i="1"/>
  <c r="C416" i="1"/>
  <c r="C473" i="1"/>
  <c r="C482" i="1"/>
  <c r="C465" i="1"/>
  <c r="C437" i="1"/>
  <c r="C485" i="1"/>
  <c r="C471" i="1"/>
  <c r="C499" i="1"/>
  <c r="C417" i="1"/>
  <c r="C484" i="1"/>
  <c r="C409" i="1"/>
  <c r="C421" i="1"/>
  <c r="C452" i="1"/>
  <c r="C462" i="1"/>
  <c r="C432" i="1"/>
  <c r="C410" i="1"/>
  <c r="C423" i="1"/>
  <c r="C431" i="1"/>
  <c r="C454" i="1"/>
  <c r="C497" i="1"/>
  <c r="C493" i="1"/>
  <c r="C449" i="1"/>
  <c r="C495" i="1"/>
  <c r="C475" i="1"/>
  <c r="C500" i="1"/>
  <c r="C455" i="1"/>
  <c r="C436" i="1"/>
  <c r="C434" i="1"/>
  <c r="C494" i="1"/>
  <c r="C419" i="1"/>
  <c r="C476" i="1"/>
  <c r="C468" i="1"/>
  <c r="C418" i="1"/>
  <c r="C474" i="1"/>
  <c r="C463" i="1"/>
  <c r="C478" i="1"/>
  <c r="C411" i="1"/>
  <c r="C467" i="1"/>
  <c r="C461" i="1"/>
  <c r="C501" i="1"/>
  <c r="C424" i="1"/>
  <c r="C460" i="1"/>
  <c r="C503" i="1"/>
  <c r="C453" i="1"/>
  <c r="C450" i="1"/>
  <c r="C491" i="1"/>
  <c r="C464" i="1"/>
  <c r="C458" i="1"/>
  <c r="C487" i="1"/>
  <c r="C446" i="1"/>
  <c r="C426" i="1"/>
  <c r="C408" i="1"/>
  <c r="C422" i="1"/>
  <c r="C441" i="1"/>
  <c r="C415" i="1"/>
  <c r="C479" i="1"/>
  <c r="C486" i="1"/>
  <c r="C472" i="1"/>
  <c r="C444" i="1"/>
  <c r="C430" i="1"/>
  <c r="C498" i="1"/>
  <c r="C490" i="1"/>
  <c r="C506" i="1"/>
  <c r="C414" i="1"/>
  <c r="C505" i="1"/>
  <c r="C502" i="1"/>
  <c r="C469" i="1"/>
  <c r="C481" i="1"/>
  <c r="C504" i="1"/>
  <c r="C496" i="1"/>
  <c r="G7" i="1" l="1"/>
  <c r="G8" i="1" s="1"/>
  <c r="G4" i="1"/>
  <c r="L5" i="1"/>
  <c r="L4" i="1"/>
  <c r="D491" i="1"/>
  <c r="E418" i="1"/>
  <c r="D500" i="1"/>
  <c r="D503" i="1"/>
  <c r="D442" i="1"/>
  <c r="E491" i="1"/>
  <c r="D484" i="1"/>
  <c r="D409" i="1"/>
  <c r="E466" i="1"/>
  <c r="D469" i="1"/>
  <c r="D486" i="1"/>
  <c r="D490" i="1"/>
  <c r="D407" i="1"/>
  <c r="E429" i="1"/>
  <c r="E489" i="1"/>
  <c r="E415" i="1"/>
  <c r="D411" i="1"/>
  <c r="E451" i="1"/>
  <c r="E414" i="1"/>
  <c r="E470" i="1"/>
  <c r="D504" i="1"/>
  <c r="D488" i="1"/>
  <c r="E417" i="1"/>
  <c r="E412" i="1"/>
  <c r="D505" i="1"/>
  <c r="E502" i="1"/>
  <c r="E457" i="1"/>
  <c r="D422" i="1"/>
  <c r="E484" i="1"/>
  <c r="E445" i="1"/>
  <c r="E422" i="1"/>
  <c r="E420" i="1"/>
  <c r="D485" i="1"/>
  <c r="E416" i="1"/>
  <c r="D449" i="1"/>
  <c r="D480" i="1"/>
  <c r="D448" i="1"/>
  <c r="D465" i="1"/>
  <c r="E496" i="1"/>
  <c r="E463" i="1"/>
  <c r="D408" i="1"/>
  <c r="D412" i="1"/>
  <c r="E501" i="1"/>
  <c r="D468" i="1"/>
  <c r="D434" i="1"/>
  <c r="E440" i="1"/>
  <c r="E478" i="1"/>
  <c r="E456" i="1"/>
  <c r="E448" i="1"/>
  <c r="E499" i="1"/>
  <c r="E479" i="1"/>
  <c r="D467" i="1"/>
  <c r="E483" i="1"/>
  <c r="D415" i="1"/>
  <c r="E453" i="1"/>
  <c r="D481" i="1"/>
  <c r="D460" i="1"/>
  <c r="E498" i="1"/>
  <c r="D420" i="1"/>
  <c r="D496" i="1"/>
  <c r="E465" i="1"/>
  <c r="D471" i="1"/>
  <c r="E430" i="1"/>
  <c r="D413" i="1"/>
  <c r="E460" i="1"/>
  <c r="E413" i="1"/>
  <c r="D495" i="1"/>
  <c r="D494" i="1"/>
  <c r="D473" i="1"/>
  <c r="D483" i="1"/>
  <c r="D478" i="1"/>
  <c r="E446" i="1"/>
  <c r="D430" i="1"/>
  <c r="D410" i="1"/>
  <c r="D472" i="1"/>
  <c r="D501" i="1"/>
  <c r="D450" i="1"/>
  <c r="E462" i="1"/>
  <c r="D437" i="1"/>
  <c r="D444" i="1"/>
  <c r="E450" i="1"/>
  <c r="E487" i="1"/>
  <c r="D459" i="1"/>
  <c r="E486" i="1"/>
  <c r="E407" i="1"/>
  <c r="D462" i="1"/>
  <c r="D497" i="1"/>
  <c r="E476" i="1"/>
  <c r="D424" i="1"/>
  <c r="E469" i="1"/>
  <c r="D476" i="1"/>
  <c r="E427" i="1"/>
  <c r="E434" i="1"/>
  <c r="E409" i="1"/>
  <c r="E431" i="1"/>
  <c r="E442" i="1"/>
  <c r="D414" i="1"/>
  <c r="D431" i="1"/>
  <c r="E447" i="1"/>
  <c r="D454" i="1"/>
  <c r="E444" i="1"/>
  <c r="E439" i="1"/>
  <c r="D417" i="1"/>
  <c r="D477" i="1"/>
  <c r="E490" i="1"/>
  <c r="E433" i="1"/>
  <c r="E406" i="1"/>
  <c r="E452" i="1"/>
  <c r="D443" i="1"/>
  <c r="E438" i="1"/>
  <c r="E481" i="1"/>
  <c r="D492" i="1"/>
  <c r="D441" i="1"/>
  <c r="E436" i="1"/>
  <c r="D506" i="1"/>
  <c r="E419" i="1"/>
  <c r="E423" i="1"/>
  <c r="E505" i="1"/>
  <c r="D479" i="1"/>
  <c r="D455" i="1"/>
  <c r="E506" i="1"/>
  <c r="E503" i="1"/>
  <c r="E449" i="1"/>
  <c r="E454" i="1"/>
  <c r="D498" i="1"/>
  <c r="D463" i="1"/>
  <c r="E488" i="1"/>
  <c r="D482" i="1"/>
  <c r="E493" i="1"/>
  <c r="E408" i="1"/>
  <c r="D453" i="1"/>
  <c r="E432" i="1"/>
  <c r="E441" i="1"/>
  <c r="E443" i="1"/>
  <c r="D440" i="1"/>
  <c r="E500" i="1"/>
  <c r="D487" i="1"/>
  <c r="D436" i="1"/>
  <c r="E485" i="1"/>
  <c r="E504" i="1"/>
  <c r="E475" i="1"/>
  <c r="E468" i="1"/>
  <c r="D466" i="1"/>
  <c r="D475" i="1"/>
  <c r="D426" i="1"/>
  <c r="D474" i="1"/>
  <c r="E482" i="1"/>
  <c r="E411" i="1"/>
  <c r="D423" i="1"/>
  <c r="D456" i="1"/>
  <c r="E421" i="1"/>
  <c r="E471" i="1"/>
  <c r="D418" i="1"/>
  <c r="D406" i="1"/>
  <c r="D452" i="1"/>
  <c r="E459" i="1"/>
  <c r="D438" i="1"/>
  <c r="D451" i="1"/>
  <c r="D421" i="1"/>
  <c r="E497" i="1"/>
  <c r="E426" i="1"/>
  <c r="D464" i="1"/>
  <c r="E467" i="1"/>
  <c r="D427" i="1"/>
  <c r="E492" i="1"/>
  <c r="D428" i="1"/>
  <c r="D425" i="1"/>
  <c r="E425" i="1"/>
  <c r="E494" i="1"/>
  <c r="D439" i="1"/>
  <c r="E424" i="1"/>
  <c r="E495" i="1"/>
  <c r="D470" i="1"/>
  <c r="D445" i="1"/>
  <c r="D429" i="1"/>
  <c r="E474" i="1"/>
  <c r="D502" i="1"/>
  <c r="E464" i="1"/>
  <c r="D457" i="1"/>
  <c r="E455" i="1"/>
  <c r="E437" i="1"/>
  <c r="D435" i="1"/>
  <c r="D447" i="1"/>
  <c r="E472" i="1"/>
  <c r="D433" i="1"/>
  <c r="E477" i="1"/>
  <c r="E428" i="1"/>
  <c r="D499" i="1"/>
  <c r="D461" i="1"/>
  <c r="D416" i="1"/>
  <c r="D432" i="1"/>
  <c r="E461" i="1"/>
  <c r="D493" i="1"/>
  <c r="E458" i="1"/>
  <c r="D446" i="1"/>
  <c r="E473" i="1"/>
  <c r="E410" i="1"/>
  <c r="D419" i="1"/>
  <c r="D489" i="1"/>
  <c r="E480" i="1"/>
  <c r="E435" i="1"/>
  <c r="D458" i="1"/>
  <c r="G11" i="1" l="1"/>
  <c r="S6" i="1" s="1"/>
  <c r="S4" i="1"/>
  <c r="G10" i="1" l="1"/>
  <c r="S7" i="1" s="1"/>
  <c r="S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tc={55AA37C4-6A4E-4199-A1FC-0C4AC5297947}</author>
    <author>tc={35F0BF05-E4F2-4772-8D74-6D739E4C5A77}</author>
    <author>tc={F3E1045E-EFB6-44CF-986C-FB48ED472298}</author>
    <author>tc={1B46B3FF-6E13-40E7-B624-C14CB0884D1C}</author>
    <author>tc={5FF2AD9E-D14D-4046-A152-6D8398F9EFFE}</author>
    <author>tc={564A2CC4-1A1D-43E7-84F6-651255AE8004}</author>
    <author>tc={F4CA175E-76E0-467A-80D1-C22A950C3097}</author>
    <author>tc={F654F72F-1377-47E5-85EF-5125AE9BDD39}</author>
    <author>tc={A70B2890-7808-426F-B9B8-FDF9FF72DCE0}</author>
    <author>tc={2AA47EFA-7C24-4EDA-AA43-ED31A529F249}</author>
    <author>tc={588D28DF-355C-4B17-ADDC-E9C579036332}</author>
    <author>tc={A5C2EBB3-7AD2-49AC-9130-239273357B9D}</author>
    <author>tc={88C29BCD-4CE5-48E0-B87E-15EA763A6525}</author>
    <author>tc={F77EE5DD-282C-4BA8-9DF6-0F9C7A931F07}</author>
    <author>tc={FB07EDA2-0A84-4128-AA93-9345E2B05841}</author>
  </authors>
  <commentList>
    <comment ref="H2" authorId="0" shapeId="0" xr:uid="{55AA37C4-6A4E-4199-A1FC-0C4AC5297947}">
      <text>
        <t xml:space="preserve">[Threaded comment]
Your version of Excel allows you to read this threaded comment; however, any edits to it will get removed if the file is opened in a newer version of Excel. Learn more: https://go.microsoft.com/fwlink/?linkid=870924
Comment:
    When you flip from Low to High, required capacity jumps, utilization climbs, and the recommendation can shift. Stress testing the model against different market conditions to see how subcontractor capacity situation changes. </t>
      </text>
    </comment>
    <comment ref="I3" authorId="1" shapeId="0" xr:uid="{35F0BF05-E4F2-4772-8D74-6D739E4C5A77}">
      <text>
        <t>[Threaded comment]
Your version of Excel allows you to read this threaded comment; however, any edits to it will get removed if the file is opened in a newer version of Excel. Learn more: https://go.microsoft.com/fwlink/?linkid=870924
Comment:
    assumes the market comes in 10% below the historical average. Maybe the economy slows, interest rates stay high, developers pull back on projects. Subs like Circle B will see less business come thru which is why they are willing to take on a lower util %</t>
      </text>
    </comment>
    <comment ref="L3" authorId="2" shapeId="0" xr:uid="{F3E1045E-EFB6-44CF-986C-FB48ED472298}">
      <text>
        <t xml:space="preserve">[Threaded comment]
Your version of Excel allows you to read this threaded comment; however, any edits to it will get removed if the file is opened in a newer version of Excel. Learn more: https://go.microsoft.com/fwlink/?linkid=870924
Comment:
    If the market comes in soft you naturally win fewer bids, less work flows through, utilization drops to 75% and you should be bidding aggressively to fill capacity, tighter margins because you want your bids to be selected. </t>
      </text>
    </comment>
    <comment ref="S4" authorId="3" shapeId="0" xr:uid="{1B46B3FF-6E13-40E7-B624-C14CB0884D1C}">
      <text>
        <t xml:space="preserve">[Threaded comment]
Your version of Excel allows you to read this threaded comment; however, any edits to it will get removed if the file is opened in a newer version of Excel. Learn more: https://go.microsoft.com/fwlink/?linkid=870924
Comment:
    How many labor hours the projected demand actually needs from Circle B under the High scenario. </t>
      </text>
    </comment>
    <comment ref="F5" authorId="4" shapeId="0" xr:uid="{5FF2AD9E-D14D-4046-A152-6D8398F9EFFE}">
      <text>
        <t>[Threaded comment]
Your version of Excel allows you to read this threaded comment; however, any edits to it will get removed if the file is opened in a newer version of Excel. Learn more: https://go.microsoft.com/fwlink/?linkid=870924
Comment:
    Hard coded assumption</t>
      </text>
    </comment>
    <comment ref="I5" authorId="5" shapeId="0" xr:uid="{564A2CC4-1A1D-43E7-84F6-651255AE8004}">
      <text>
        <t>[Threaded comment]
Your version of Excel allows you to read this threaded comment; however, any edits to it will get removed if the file is opened in a newer version of Excel. Learn more: https://go.microsoft.com/fwlink/?linkid=870924
Comment:
    assumes demand runs 10% above average. Market is booming, lots of projects breaking ground, Subs like Circle B is seeing more opportunities come through but we should be selective with our bidding because we are over the 85% threshold</t>
      </text>
    </comment>
    <comment ref="L5" authorId="6" shapeId="0" xr:uid="{F4CA175E-76E0-467A-80D1-C22A950C3097}">
      <text>
        <t xml:space="preserve">[Threaded comment]
Your version of Excel allows you to read this threaded comment; however, any edits to it will get removed if the file is opened in a newer version of Excel. Learn more: https://go.microsoft.com/fwlink/?linkid=870924
Comment:
    When demand is higher, more projects are out there, which means more of your bids get accepted and more work flows in. Your required capacity climbs because you're suddenly executing more projects than the base case assumed, but your total available labor hours stay fixed at 20,000. So the gap closes fast and you blow past 85%. Probably willing to make bids of higher margin depending on what backlog looks like </t>
      </text>
    </comment>
    <comment ref="P5" authorId="7" shapeId="0" xr:uid="{F654F72F-1377-47E5-85EF-5125AE9BDD39}">
      <text>
        <t xml:space="preserve">[Threaded comment]
Your version of Excel allows you to read this threaded comment; however, any edits to it will get removed if the file is opened in a newer version of Excel. Learn more: https://go.microsoft.com/fwlink/?linkid=870924
Comment:
    Model calculates utilization using total theoretical labor capacity which is 20000 hours. But that assumes you can actually fill every one of those hours with qualified workers. In reality, given the labor shortage in Indianapolis right now, subs probably can't fully staff to their theoretical ceiling. Some of those 20,000 hours exist on paper but not in practice because the workers aren't available. 
Reply:
    If the actual realistic staffable capacity is 18000 then the real utilization isnt 92% its higher. True util is the gap between what you can theoretically staff and what you can put in the field given labor conditions. </t>
      </text>
    </comment>
    <comment ref="S5" authorId="8" shapeId="0" xr:uid="{A70B2890-7808-426F-B9B8-FDF9FF72DCE0}">
      <text>
        <t xml:space="preserve">[Threaded comment]
Your version of Excel allows you to read this threaded comment; however, any edits to it will get removed if the file is opened in a newer version of Excel. Learn more: https://go.microsoft.com/fwlink/?linkid=870924
Comment:
    The theoretical ceiling. The total hours the sub can put in the field. </t>
      </text>
    </comment>
    <comment ref="F6" authorId="9" shapeId="0" xr:uid="{2AA47EFA-7C24-4EDA-AA43-ED31A529F249}">
      <text>
        <t xml:space="preserve">[Threaded comment]
Your version of Excel allows you to read this threaded comment; however, any edits to it will get removed if the file is opened in a newer version of Excel. Learn more: https://go.microsoft.com/fwlink/?linkid=870924
Comment:
    Hard coded assumption some of these hours exist on paper but not in reality bc...
Reply:
    THEORETICAL capacity assuming we can fully staff to that level who knows what we can actually do with Morris Arena, IU Health, and overall national labor shortage adding on to that. </t>
      </text>
    </comment>
    <comment ref="S6" authorId="10" shapeId="0" xr:uid="{588D28DF-355C-4B17-ADDC-E9C579036332}">
      <text>
        <t>[Threaded comment]
Your version of Excel allows you to read this threaded comment; however, any edits to it will get removed if the file is opened in a newer version of Excel. Learn more: https://go.microsoft.com/fwlink/?linkid=870924
Comment:
    −1,553 hours The buffer between what's needed and what's available. Negative means excess on paper but thin in reality given the 92% utilization. 
Reply:
    We have 1553 hours of breathing room before we can’t take on another project but in the mean time who knows what will happen</t>
      </text>
    </comment>
    <comment ref="F8" authorId="11" shapeId="0" xr:uid="{A5C2EBB3-7AD2-49AC-9130-239273357B9D}">
      <text>
        <t>[Threaded comment]
Your version of Excel allows you to read this threaded comment; however, any edits to it will get removed if the file is opened in a newer version of Excel. Learn more: https://go.microsoft.com/fwlink/?linkid=870924
Comment:
    Required Capacity/Total Capacity</t>
      </text>
    </comment>
    <comment ref="F9" authorId="12" shapeId="0" xr:uid="{88C29BCD-4CE5-48E0-B87E-15EA763A6525}">
      <text>
        <t xml:space="preserve">[Threaded comment]
Your version of Excel allows you to read this threaded comment; however, any edits to it will get removed if the file is opened in a newer version of Excel. Learn more: https://go.microsoft.com/fwlink/?linkid=870924
Comment:
    Assumed target utilization threshold
Reply:
    Real model probably uses more then just one criteria 85%
Reply:
    More important gc relationships or what the market is telling u </t>
      </text>
    </comment>
    <comment ref="H9" authorId="13" shapeId="0" xr:uid="{F77EE5DD-282C-4BA8-9DF6-0F9C7A931F07}">
      <text>
        <t xml:space="preserve">[Threaded comment]
Your version of Excel allows you to read this threaded comment; however, any edits to it will get removed if the file is opened in a newer version of Excel. Learn more: https://go.microsoft.com/fwlink/?linkid=870924
Comment:
    A more complete model would incorporate labor rate escalation assumptions that move with the demand forecast. When the High scenario fires and utilization goes above 85%, labor rates are probably also rising, which means the true cost exposure is worse than the utilization number alone suggests. </t>
      </text>
    </comment>
    <comment ref="F11" authorId="14" shapeId="0" xr:uid="{FB07EDA2-0A84-4128-AA93-9345E2B05841}">
      <text>
        <t>[Threaded comment]
Your version of Excel allows you to read this threaded comment; however, any edits to it will get removed if the file is opened in a newer version of Excel. Learn more: https://go.microsoft.com/fwlink/?linkid=870924
Comment:
    Positive = Need More Labor
Negative = Excess capacity</t>
      </text>
    </comment>
  </commentList>
</comments>
</file>

<file path=xl/sharedStrings.xml><?xml version="1.0" encoding="utf-8"?>
<sst xmlns="http://schemas.openxmlformats.org/spreadsheetml/2006/main" count="49" uniqueCount="35">
  <si>
    <t>DEMAND FORECASTING &amp; CAPACITY OPTIMIZATION</t>
  </si>
  <si>
    <t>Date</t>
  </si>
  <si>
    <t>Demand</t>
  </si>
  <si>
    <t>Forecast(Demand)</t>
  </si>
  <si>
    <t>Lower Confidence Bound(Demand)</t>
  </si>
  <si>
    <t>Upper Confidence Bound(Demand)</t>
  </si>
  <si>
    <t>Metric</t>
  </si>
  <si>
    <t>Value</t>
  </si>
  <si>
    <t>Selected Scenario</t>
  </si>
  <si>
    <t>Scenario</t>
  </si>
  <si>
    <t>Utilization</t>
  </si>
  <si>
    <t>Assumptions</t>
  </si>
  <si>
    <t xml:space="preserve">KPI </t>
  </si>
  <si>
    <t>Avg Monthly Demand</t>
  </si>
  <si>
    <t>High</t>
  </si>
  <si>
    <t>Low</t>
  </si>
  <si>
    <t>Demand Units Per Project</t>
  </si>
  <si>
    <t>Utilization %</t>
  </si>
  <si>
    <t>Projects Per Month</t>
  </si>
  <si>
    <t>Base</t>
  </si>
  <si>
    <t>Labor Hours Per Project</t>
  </si>
  <si>
    <t>Required Capacity</t>
  </si>
  <si>
    <t>Total Labor Capacity</t>
  </si>
  <si>
    <t>Available Capacity</t>
  </si>
  <si>
    <t>Total Capacity (Hours)</t>
  </si>
  <si>
    <t>Target Utilization</t>
  </si>
  <si>
    <t>Capacity Gap</t>
  </si>
  <si>
    <t>Required Capacity (Hours)</t>
  </si>
  <si>
    <t>Recommendation</t>
  </si>
  <si>
    <t>Capacity Utilization</t>
  </si>
  <si>
    <t>Recommended Strategy</t>
  </si>
  <si>
    <t xml:space="preserve"> </t>
  </si>
  <si>
    <t>Key Insight</t>
  </si>
  <si>
    <t>Observation Date</t>
  </si>
  <si>
    <t>At 92% utilization, the subcontractor is approaching its realistic capacity ceiling. Because skilled trade labor cannot be fully staffed to theoretical levels, true utilization is likely higher than this figure suggests. Prioritize high-margin, scope-fit projects and avoid buying work to fill capacity that may not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</si>
</sst>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font>
      <sz val="11"/>
      <color theme="1"/>
      <name val="Aptos Narrow"/>
      <family val="2"/>
      <charset val="1"/>
    </font>
    <font>
      <b/>
      <sz val="10"/>
      <color rgb="FFFFFFFF"/>
      <name val="Arial"/>
      <family val="2"/>
    </font>
    <font>
      <sz val="9"/>
      <color rgb="FF1B2A4A"/>
      <name val="Arial"/>
      <family val="2"/>
    </font>
    <font>
      <b/>
      <sz val="10"/>
      <color rgb="FF2E4D7B"/>
      <name val="Arial"/>
      <family val="2"/>
    </font>
    <font>
      <b/>
      <sz val="10"/>
      <color rgb="FF1B2A4A"/>
      <name val="Arial"/>
      <family val="2"/>
    </font>
    <font>
      <sz val="9"/>
      <color rgb="FF4A5568"/>
      <name val="Arial"/>
      <family val="2"/>
    </font>
    <font>
      <sz val="10"/>
      <color rgb="FF1B2A4A"/>
      <name val="Arial"/>
      <family val="2"/>
    </font>
    <font>
      <b/>
      <sz val="10"/>
      <color rgb="FFFFFFFF"/>
      <name val="Arial"/>
    </font>
    <font>
      <sz val="10"/>
      <color rgb="FF1B2A4A"/>
      <name val="Arial"/>
    </font>
    <font>
      <b/>
      <sz val="16"/>
      <color rgb="FFFFFFFF"/>
      <name val="Arial"/>
    </font>
    <font>
      <b/>
      <sz val="11"/>
      <color rgb="FFD97706"/>
      <name val="Arial"/>
      <family val="2"/>
    </font>
    <font>
      <b/>
      <sz val="11"/>
      <color rgb="FFDC2626"/>
      <name val="Arial"/>
      <family val="2"/>
    </font>
    <font>
      <sz val="10"/>
      <color rgb="FF374151"/>
      <name val="Arial"/>
      <family val="2"/>
    </font>
    <font>
      <b/>
      <sz val="10"/>
      <color rgb="FF374151"/>
      <name val="Arial"/>
    </font>
    <font>
      <sz val="10"/>
      <color theme="1"/>
      <name val="Arial"/>
    </font>
    <font>
      <b/>
      <sz val="10"/>
      <color rgb="FF1B2A4A"/>
      <name val="Arial"/>
    </font>
    <font>
      <b/>
      <sz val="10"/>
      <color rgb="FFD97706"/>
      <name val="Arial"/>
      <family val="2"/>
    </font>
    <font>
      <b/>
      <sz val="10"/>
      <color rgb="FFDC2626"/>
      <name val="Arial"/>
      <family val="2"/>
    </font>
    <font>
      <b/>
      <sz val="12"/>
      <color rgb="FF1B2A4A"/>
      <name val="Arial"/>
    </font>
    <font>
      <b/>
      <sz val="12"/>
      <color rgb="FFFFFFFF"/>
      <name val="Arial"/>
    </font>
  </fonts>
  <fills count="12">
    <fill>
      <patternFill patternType="none"/>
    </fill>
    <fill>
      <patternFill patternType="gray125"/>
    </fill>
    <fill>
      <patternFill patternType="solid">
        <fgColor rgb="FF1B2A4A"/>
        <bgColor rgb="FF003366"/>
      </patternFill>
    </fill>
    <fill>
      <patternFill patternType="solid">
        <fgColor rgb="FFF2F4F7"/>
        <bgColor rgb="FFEBF5FB"/>
      </patternFill>
    </fill>
    <fill>
      <patternFill patternType="solid">
        <fgColor rgb="FFFFFFFF"/>
        <bgColor rgb="FFF2F4F7"/>
      </patternFill>
    </fill>
    <fill>
      <patternFill patternType="solid">
        <fgColor rgb="FF1B2A4A"/>
        <bgColor indexed="64"/>
      </patternFill>
    </fill>
    <fill>
      <patternFill patternType="solid">
        <fgColor rgb="FFEBF0F7"/>
        <bgColor indexed="64"/>
      </patternFill>
    </fill>
    <fill>
      <patternFill patternType="solid">
        <fgColor rgb="FFD6E4F0"/>
        <bgColor indexed="64"/>
      </patternFill>
    </fill>
    <fill>
      <patternFill patternType="solid">
        <fgColor rgb="FF0E2841"/>
        <bgColor indexed="64"/>
      </patternFill>
    </fill>
    <fill>
      <patternFill patternType="solid">
        <fgColor rgb="FFF0F4F8"/>
        <bgColor indexed="64"/>
      </patternFill>
    </fill>
    <fill>
      <patternFill patternType="solid">
        <fgColor rgb="FFDBEAFE"/>
        <bgColor indexed="64"/>
      </patternFill>
    </fill>
    <fill>
      <patternFill patternType="solid">
        <fgColor rgb="FFF0F2F5"/>
        <bgColor indexed="64"/>
      </patternFill>
    </fill>
  </fills>
  <borders count="36">
    <border>
      <left/>
      <right/>
      <top/>
      <bottom/>
      <diagonal/>
    </border>
    <border>
      <left style="thin">
        <color rgb="FFCBD5E0"/>
      </left>
      <right style="thin">
        <color rgb="FFCBD5E0"/>
      </right>
      <top style="thin">
        <color rgb="FFCBD5E0"/>
      </top>
      <bottom style="thin">
        <color rgb="FFCBD5E0"/>
      </bottom>
      <diagonal/>
    </border>
    <border>
      <left/>
      <right/>
      <top/>
      <bottom style="thin">
        <color rgb="FFCBD5E0"/>
      </bottom>
      <diagonal/>
    </border>
    <border>
      <left/>
      <right style="thin">
        <color theme="4" tint="0.39988402966399123"/>
      </right>
      <top style="thin">
        <color theme="4" tint="0.39988402966399123"/>
      </top>
      <bottom style="thin">
        <color theme="4" tint="0.39988402966399123"/>
      </bottom>
      <diagonal/>
    </border>
    <border>
      <left style="thin">
        <color rgb="FFCBD5E0"/>
      </left>
      <right/>
      <top style="thin">
        <color rgb="FFCBD5E0"/>
      </top>
      <bottom style="thin">
        <color rgb="FFCBD5E0"/>
      </bottom>
      <diagonal/>
    </border>
    <border>
      <left/>
      <right/>
      <top style="thin">
        <color rgb="FFCBD5E0"/>
      </top>
      <bottom style="thin">
        <color rgb="FFCBD5E0"/>
      </bottom>
      <diagonal/>
    </border>
    <border>
      <left style="thin">
        <color rgb="FFCBD5E0"/>
      </left>
      <right style="thin">
        <color rgb="FFCBD5E0"/>
      </right>
      <top/>
      <bottom/>
      <diagonal/>
    </border>
    <border>
      <left style="thin">
        <color rgb="FFCBD5E0"/>
      </left>
      <right style="thin">
        <color rgb="FFCBD5E0"/>
      </right>
      <top style="thin">
        <color rgb="FF1B2A4A"/>
      </top>
      <bottom style="thin">
        <color rgb="FFCBD5E0"/>
      </bottom>
      <diagonal/>
    </border>
    <border>
      <left/>
      <right/>
      <top/>
      <bottom style="thin">
        <color rgb="FF1B2A4A"/>
      </bottom>
      <diagonal/>
    </border>
    <border>
      <left style="medium">
        <color rgb="FF1B2A4A"/>
      </left>
      <right/>
      <top/>
      <bottom/>
      <diagonal/>
    </border>
    <border>
      <left style="thin">
        <color rgb="FFCBD5E0"/>
      </left>
      <right style="thin">
        <color rgb="FFCBD5E0"/>
      </right>
      <top/>
      <bottom style="thin">
        <color rgb="FFCBD5E0"/>
      </bottom>
      <diagonal/>
    </border>
    <border>
      <left style="thin">
        <color rgb="FFCBD5E0"/>
      </left>
      <right/>
      <top/>
      <bottom style="thin">
        <color rgb="FFCBD5E0"/>
      </bottom>
      <diagonal/>
    </border>
    <border>
      <left style="thin">
        <color rgb="FFCBD5E0"/>
      </left>
      <right/>
      <top/>
      <bottom style="thin">
        <color rgb="FF1B2A4A"/>
      </bottom>
      <diagonal/>
    </border>
    <border>
      <left/>
      <right style="thin">
        <color rgb="FFCBD5E0"/>
      </right>
      <top/>
      <bottom style="thin">
        <color rgb="FF1B2A4A"/>
      </bottom>
      <diagonal/>
    </border>
    <border>
      <left style="medium">
        <color rgb="FF1B2A4A"/>
      </left>
      <right/>
      <top/>
      <bottom style="thin">
        <color rgb="FFCBD5E0"/>
      </bottom>
      <diagonal/>
    </border>
    <border>
      <left style="medium">
        <color rgb="FF1B2A4A"/>
      </left>
      <right/>
      <top style="thin">
        <color rgb="FFCBD5E0"/>
      </top>
      <bottom style="thin">
        <color rgb="FFCBD5E0"/>
      </bottom>
      <diagonal/>
    </border>
    <border>
      <left style="medium">
        <color rgb="FF1B2A4A"/>
      </left>
      <right/>
      <top style="thin">
        <color rgb="FFCBD5E0"/>
      </top>
      <bottom style="medium">
        <color rgb="FF1B2A4A"/>
      </bottom>
      <diagonal/>
    </border>
    <border>
      <left/>
      <right style="medium">
        <color rgb="FF1B2A4A"/>
      </right>
      <top/>
      <bottom style="thin">
        <color rgb="FFCBD5E0"/>
      </bottom>
      <diagonal/>
    </border>
    <border>
      <left/>
      <right style="medium">
        <color rgb="FF1B2A4A"/>
      </right>
      <top style="thin">
        <color rgb="FFCBD5E0"/>
      </top>
      <bottom style="thin">
        <color rgb="FFCBD5E0"/>
      </bottom>
      <diagonal/>
    </border>
    <border>
      <left/>
      <right style="medium">
        <color rgb="FF1B2A4A"/>
      </right>
      <top style="thin">
        <color rgb="FFCBD5E0"/>
      </top>
      <bottom style="medium">
        <color rgb="FF1B2A4A"/>
      </bottom>
      <diagonal/>
    </border>
    <border>
      <left style="medium">
        <color rgb="FF1B2A4A"/>
      </left>
      <right/>
      <top/>
      <bottom style="thin">
        <color rgb="FF3B82F6"/>
      </bottom>
      <diagonal/>
    </border>
    <border>
      <left style="thin">
        <color rgb="FFCBD5E0"/>
      </left>
      <right style="thin">
        <color rgb="FFCBD5E0"/>
      </right>
      <top style="thin">
        <color rgb="FFCBD5E0"/>
      </top>
      <bottom style="medium">
        <color rgb="FF1B2A4A"/>
      </bottom>
      <diagonal/>
    </border>
    <border>
      <left style="thin">
        <color rgb="FFCBD5E0"/>
      </left>
      <right/>
      <top style="thin">
        <color rgb="FFCBD5E0"/>
      </top>
      <bottom style="medium">
        <color rgb="FF1B2A4A"/>
      </bottom>
      <diagonal/>
    </border>
    <border>
      <left style="thin">
        <color rgb="FFCBD5E0"/>
      </left>
      <right style="medium">
        <color rgb="FF1B2A4A"/>
      </right>
      <top style="thin">
        <color rgb="FF1B2A4A"/>
      </top>
      <bottom style="thin">
        <color rgb="FFCBD5E0"/>
      </bottom>
      <diagonal/>
    </border>
    <border>
      <left style="thin">
        <color rgb="FFCBD5E0"/>
      </left>
      <right style="medium">
        <color rgb="FF1B2A4A"/>
      </right>
      <top style="thin">
        <color rgb="FFCBD5E0"/>
      </top>
      <bottom style="thin">
        <color rgb="FFCBD5E0"/>
      </bottom>
      <diagonal/>
    </border>
    <border>
      <left style="thin">
        <color rgb="FFCBD5E0"/>
      </left>
      <right style="medium">
        <color rgb="FF1B2A4A"/>
      </right>
      <top style="thin">
        <color rgb="FFCBD5E0"/>
      </top>
      <bottom style="medium">
        <color rgb="FF1B2A4A"/>
      </bottom>
      <diagonal/>
    </border>
    <border>
      <left/>
      <right/>
      <top style="thin">
        <color rgb="FFCBD5E0"/>
      </top>
      <bottom style="medium">
        <color rgb="FF1B2A4A"/>
      </bottom>
      <diagonal/>
    </border>
    <border>
      <left style="medium">
        <color rgb="FF1B2A4A"/>
      </left>
      <right style="thin">
        <color rgb="FFCBD5E0"/>
      </right>
      <top/>
      <bottom style="thin">
        <color rgb="FFCBD5E0"/>
      </bottom>
      <diagonal/>
    </border>
    <border>
      <left style="medium">
        <color rgb="FF1B2A4A"/>
      </left>
      <right style="thin">
        <color rgb="FFCBD5E0"/>
      </right>
      <top style="thin">
        <color rgb="FFCBD5E0"/>
      </top>
      <bottom style="thin">
        <color rgb="FFCBD5E0"/>
      </bottom>
      <diagonal/>
    </border>
    <border>
      <left style="medium">
        <color rgb="FF1B2A4A"/>
      </left>
      <right style="thin">
        <color rgb="FFCBD5E0"/>
      </right>
      <top style="thin">
        <color rgb="FFCBD5E0"/>
      </top>
      <bottom style="medium">
        <color rgb="FF1B2A4A"/>
      </bottom>
      <diagonal/>
    </border>
    <border>
      <left/>
      <right/>
      <top style="medium">
        <color rgb="FF1B2A4A"/>
      </top>
      <bottom style="thin">
        <color rgb="FF3B82F6"/>
      </bottom>
      <diagonal/>
    </border>
    <border>
      <left style="medium">
        <color rgb="FF1B2A4A"/>
      </left>
      <right style="thin">
        <color rgb="FFCBD5E0"/>
      </right>
      <top/>
      <bottom style="thin">
        <color rgb="FF1B2A4A"/>
      </bottom>
      <diagonal/>
    </border>
    <border>
      <left style="thin">
        <color rgb="FFCBD5E0"/>
      </left>
      <right style="medium">
        <color rgb="FF1B2A4A"/>
      </right>
      <top/>
      <bottom/>
      <diagonal/>
    </border>
    <border>
      <left style="medium">
        <color rgb="FF1B2A4A"/>
      </left>
      <right/>
      <top/>
      <bottom style="thin">
        <color rgb="FF1B2A4A"/>
      </bottom>
      <diagonal/>
    </border>
    <border>
      <left/>
      <right style="medium">
        <color rgb="FF1B2A4A"/>
      </right>
      <top/>
      <bottom style="thin">
        <color rgb="FF1B2A4A"/>
      </bottom>
      <diagonal/>
    </border>
    <border>
      <left/>
      <right/>
      <top/>
      <bottom style="thick">
        <color rgb="FFFFFFFF"/>
      </bottom>
      <diagonal/>
    </border>
  </borders>
  <cellStyleXfs count="1">
    <xf numFmtId="0" fontId="0" fillId="0" borderId="0"/>
  </cellStyleXfs>
  <cellXfs count="72">
    <xf numFmtId="0" fontId="0" fillId="0" borderId="0" xfId="0"/>
    <xf numFmtId="164" fontId="0" fillId="0" borderId="0" xfId="0" applyNumberFormat="1"/>
    <xf numFmtId="14"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4"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0" fillId="0" borderId="0" xfId="0" applyAlignment="1">
      <alignment wrapText="1"/>
    </xf>
    <xf numFmtId="2" fontId="2" fillId="3" borderId="2" xfId="0" applyNumberFormat="1" applyFont="1" applyFill="1" applyBorder="1" applyAlignment="1">
      <alignment horizontal="center" vertical="center"/>
    </xf>
    <xf numFmtId="2" fontId="2" fillId="4" borderId="2" xfId="0" applyNumberFormat="1"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3" xfId="0" applyBorder="1"/>
    <xf numFmtId="0" fontId="6" fillId="9" borderId="1" xfId="0" applyFont="1" applyFill="1" applyBorder="1" applyAlignment="1">
      <alignment horizontal="center" vertical="center"/>
    </xf>
    <xf numFmtId="0" fontId="14" fillId="9" borderId="5" xfId="0" applyFont="1" applyFill="1" applyBorder="1"/>
    <xf numFmtId="0" fontId="14" fillId="9" borderId="2" xfId="0" applyFont="1" applyFill="1" applyBorder="1"/>
    <xf numFmtId="0" fontId="6" fillId="9" borderId="7"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7" fillId="5" borderId="6" xfId="0" applyFont="1" applyFill="1" applyBorder="1" applyAlignment="1">
      <alignment horizontal="center" vertical="center"/>
    </xf>
    <xf numFmtId="14" fontId="2" fillId="4" borderId="0" xfId="0" applyNumberFormat="1" applyFont="1" applyFill="1" applyAlignment="1">
      <alignment horizontal="center" vertical="center"/>
    </xf>
    <xf numFmtId="0" fontId="2" fillId="4" borderId="0" xfId="0" applyFont="1" applyFill="1" applyAlignment="1">
      <alignment horizontal="center" vertical="center"/>
    </xf>
    <xf numFmtId="2" fontId="2" fillId="4" borderId="0" xfId="0" applyNumberFormat="1" applyFont="1" applyFill="1" applyAlignment="1">
      <alignment horizontal="center" vertical="center"/>
    </xf>
    <xf numFmtId="0" fontId="18" fillId="10" borderId="20" xfId="0" applyFont="1" applyFill="1" applyBorder="1" applyAlignment="1">
      <alignment horizontal="center" vertical="center"/>
    </xf>
    <xf numFmtId="0" fontId="8" fillId="7" borderId="9" xfId="0" applyFont="1" applyFill="1" applyBorder="1" applyAlignment="1">
      <alignment horizontal="center" vertical="center"/>
    </xf>
    <xf numFmtId="0" fontId="4" fillId="10" borderId="21" xfId="0" applyFont="1" applyFill="1" applyBorder="1" applyAlignment="1">
      <alignment horizontal="center" vertical="center"/>
    </xf>
    <xf numFmtId="164" fontId="6" fillId="9" borderId="23" xfId="0" applyNumberFormat="1" applyFont="1" applyFill="1" applyBorder="1" applyAlignment="1">
      <alignment horizontal="center" vertical="center"/>
    </xf>
    <xf numFmtId="164" fontId="6" fillId="9" borderId="24" xfId="0" applyNumberFormat="1" applyFont="1" applyFill="1" applyBorder="1" applyAlignment="1">
      <alignment horizontal="center" vertical="center"/>
    </xf>
    <xf numFmtId="164" fontId="4" fillId="10" borderId="25" xfId="0" applyNumberFormat="1" applyFont="1" applyFill="1" applyBorder="1" applyAlignment="1">
      <alignment horizontal="center" vertical="center"/>
    </xf>
    <xf numFmtId="0" fontId="14" fillId="9" borderId="26" xfId="0" applyFont="1" applyFill="1" applyBorder="1"/>
    <xf numFmtId="0" fontId="13" fillId="9" borderId="14" xfId="0" applyFont="1" applyFill="1" applyBorder="1"/>
    <xf numFmtId="0" fontId="13" fillId="9" borderId="15" xfId="0" applyFont="1" applyFill="1" applyBorder="1"/>
    <xf numFmtId="0" fontId="13" fillId="9" borderId="16" xfId="0" applyFont="1" applyFill="1" applyBorder="1"/>
    <xf numFmtId="3" fontId="15" fillId="9" borderId="17" xfId="0" applyNumberFormat="1" applyFont="1" applyFill="1" applyBorder="1" applyAlignment="1">
      <alignment horizontal="center"/>
    </xf>
    <xf numFmtId="3" fontId="15" fillId="9" borderId="18" xfId="0" applyNumberFormat="1" applyFont="1" applyFill="1" applyBorder="1" applyAlignment="1">
      <alignment horizontal="center"/>
    </xf>
    <xf numFmtId="9" fontId="15" fillId="9" borderId="19" xfId="0" applyNumberFormat="1" applyFont="1" applyFill="1" applyBorder="1" applyAlignment="1">
      <alignment horizontal="center"/>
    </xf>
    <xf numFmtId="0" fontId="12" fillId="9" borderId="27" xfId="0" applyFont="1" applyFill="1" applyBorder="1" applyAlignment="1">
      <alignment horizontal="center" vertical="center"/>
    </xf>
    <xf numFmtId="0" fontId="12" fillId="9" borderId="28" xfId="0" applyFont="1" applyFill="1" applyBorder="1" applyAlignment="1">
      <alignment horizontal="center" vertical="center"/>
    </xf>
    <xf numFmtId="0" fontId="12" fillId="9" borderId="29" xfId="0" applyFont="1" applyFill="1" applyBorder="1" applyAlignment="1">
      <alignment horizontal="center" vertical="center"/>
    </xf>
    <xf numFmtId="0" fontId="7" fillId="5" borderId="31" xfId="0" applyFont="1" applyFill="1" applyBorder="1" applyAlignment="1">
      <alignment horizontal="center" vertical="center" wrapText="1"/>
    </xf>
    <xf numFmtId="164" fontId="7" fillId="5" borderId="32" xfId="0" applyNumberFormat="1" applyFont="1" applyFill="1" applyBorder="1" applyAlignment="1">
      <alignment horizontal="center" vertical="center"/>
    </xf>
    <xf numFmtId="164" fontId="10" fillId="9" borderId="11" xfId="0" applyNumberFormat="1" applyFont="1" applyFill="1" applyBorder="1" applyAlignment="1">
      <alignment horizontal="center" vertical="center"/>
    </xf>
    <xf numFmtId="3" fontId="4" fillId="9" borderId="4" xfId="0" applyNumberFormat="1" applyFont="1" applyFill="1" applyBorder="1" applyAlignment="1">
      <alignment horizontal="center" vertical="center"/>
    </xf>
    <xf numFmtId="3" fontId="11" fillId="9" borderId="4" xfId="0" applyNumberFormat="1" applyFont="1" applyFill="1" applyBorder="1" applyAlignment="1">
      <alignment horizontal="center" vertical="center"/>
    </xf>
    <xf numFmtId="0" fontId="4" fillId="9" borderId="22" xfId="0" applyFont="1" applyFill="1" applyBorder="1" applyAlignment="1">
      <alignment horizontal="center" vertical="center"/>
    </xf>
    <xf numFmtId="0" fontId="0" fillId="11" borderId="0" xfId="0" applyFill="1"/>
    <xf numFmtId="164" fontId="0" fillId="11" borderId="0" xfId="0" applyNumberFormat="1" applyFill="1"/>
    <xf numFmtId="0" fontId="5" fillId="11" borderId="0" xfId="0" applyFont="1" applyFill="1" applyAlignment="1">
      <alignment vertical="center" wrapText="1"/>
    </xf>
    <xf numFmtId="0" fontId="0" fillId="11" borderId="0" xfId="0" applyFill="1" applyAlignment="1">
      <alignment wrapText="1"/>
    </xf>
    <xf numFmtId="0" fontId="1" fillId="5" borderId="13"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3" fillId="7" borderId="2" xfId="0" applyFont="1" applyFill="1" applyBorder="1" applyAlignment="1">
      <alignment vertical="center"/>
    </xf>
    <xf numFmtId="3" fontId="4" fillId="7" borderId="2" xfId="0" applyNumberFormat="1" applyFont="1" applyFill="1" applyBorder="1" applyAlignment="1">
      <alignment horizontal="center" vertical="center"/>
    </xf>
    <xf numFmtId="0" fontId="3" fillId="7" borderId="5" xfId="0" applyFont="1" applyFill="1" applyBorder="1" applyAlignment="1">
      <alignment vertical="center"/>
    </xf>
    <xf numFmtId="165" fontId="4" fillId="7" borderId="5" xfId="0" applyNumberFormat="1" applyFont="1" applyFill="1" applyBorder="1" applyAlignment="1">
      <alignment horizontal="center" vertical="center"/>
    </xf>
    <xf numFmtId="3" fontId="4" fillId="7" borderId="5" xfId="0" applyNumberFormat="1" applyFont="1" applyFill="1" applyBorder="1" applyAlignment="1">
      <alignment horizontal="center" vertical="center"/>
    </xf>
    <xf numFmtId="3" fontId="4" fillId="7" borderId="18" xfId="0" applyNumberFormat="1" applyFont="1" applyFill="1" applyBorder="1" applyAlignment="1">
      <alignment horizontal="center" vertical="center"/>
    </xf>
    <xf numFmtId="164" fontId="16" fillId="7" borderId="18" xfId="0" applyNumberFormat="1" applyFont="1" applyFill="1" applyBorder="1" applyAlignment="1">
      <alignment horizontal="center" vertical="center"/>
    </xf>
    <xf numFmtId="164" fontId="4" fillId="7" borderId="18" xfId="0" applyNumberFormat="1" applyFont="1" applyFill="1" applyBorder="1" applyAlignment="1">
      <alignment horizontal="center" vertical="center"/>
    </xf>
    <xf numFmtId="0" fontId="4" fillId="7" borderId="18" xfId="0" applyFont="1" applyFill="1" applyBorder="1" applyAlignment="1">
      <alignment horizontal="center" vertical="center"/>
    </xf>
    <xf numFmtId="0" fontId="3" fillId="7" borderId="26" xfId="0" applyFont="1" applyFill="1" applyBorder="1" applyAlignment="1">
      <alignment vertical="center"/>
    </xf>
    <xf numFmtId="3" fontId="17" fillId="7" borderId="19" xfId="0" applyNumberFormat="1" applyFont="1" applyFill="1" applyBorder="1" applyAlignment="1">
      <alignment horizontal="center" vertical="center"/>
    </xf>
    <xf numFmtId="0" fontId="0" fillId="7" borderId="16" xfId="0" applyFill="1" applyBorder="1"/>
    <xf numFmtId="0" fontId="19" fillId="5" borderId="30" xfId="0" applyFont="1" applyFill="1" applyBorder="1" applyAlignment="1">
      <alignment horizontal="center" vertical="center"/>
    </xf>
    <xf numFmtId="0" fontId="8" fillId="6" borderId="0" xfId="0" applyFont="1" applyFill="1" applyAlignment="1">
      <alignment horizontal="left" vertical="top" wrapText="1"/>
    </xf>
    <xf numFmtId="0" fontId="7" fillId="5" borderId="33"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9" fillId="8" borderId="35" xfId="0" applyFont="1" applyFill="1" applyBorder="1" applyAlignment="1">
      <alignment horizontal="center" vertical="center"/>
    </xf>
    <xf numFmtId="0" fontId="9" fillId="8" borderId="35" xfId="0" applyFont="1" applyFill="1" applyBorder="1" applyAlignment="1">
      <alignment horizontal="center"/>
    </xf>
    <xf numFmtId="0" fontId="0" fillId="11" borderId="30" xfId="0" applyFill="1" applyBorder="1" applyAlignment="1"/>
    <xf numFmtId="0" fontId="0" fillId="6" borderId="0" xfId="0" applyFill="1" applyAlignment="1"/>
  </cellXfs>
  <cellStyles count="1">
    <cellStyle name="Normal" xfId="0" builtinId="0"/>
  </cellStyles>
  <dxfs count="9">
    <dxf>
      <font>
        <b val="0"/>
        <i val="0"/>
        <strike val="0"/>
        <condense val="0"/>
        <extend val="0"/>
        <outline val="0"/>
        <shadow val="0"/>
        <u val="none"/>
        <vertAlign val="baseline"/>
        <sz val="9"/>
        <color rgb="FF1B2A4A"/>
        <name val="Arial"/>
        <family val="2"/>
        <scheme val="none"/>
      </font>
      <numFmt numFmtId="2" formatCode="0.00"/>
      <fill>
        <patternFill patternType="solid">
          <fgColor rgb="FFF2F4F7"/>
          <bgColor rgb="FFFFFFFF"/>
        </patternFill>
      </fill>
      <alignment horizontal="center" vertical="center" textRotation="0" wrapText="0" indent="0" justifyLastLine="0" shrinkToFit="0" readingOrder="0"/>
      <border diagonalUp="0" diagonalDown="0">
        <left/>
        <right/>
        <top/>
        <bottom style="thin">
          <color rgb="FFCBD5E0"/>
        </bottom>
        <vertical/>
        <horizontal/>
      </border>
    </dxf>
    <dxf>
      <font>
        <b val="0"/>
        <i val="0"/>
        <strike val="0"/>
        <condense val="0"/>
        <extend val="0"/>
        <outline val="0"/>
        <shadow val="0"/>
        <u val="none"/>
        <vertAlign val="baseline"/>
        <sz val="9"/>
        <color rgb="FF1B2A4A"/>
        <name val="Arial"/>
        <family val="2"/>
        <scheme val="none"/>
      </font>
      <numFmt numFmtId="2" formatCode="0.00"/>
      <fill>
        <patternFill patternType="solid">
          <fgColor rgb="FFF2F4F7"/>
          <bgColor rgb="FFFFFFFF"/>
        </patternFill>
      </fill>
      <alignment horizontal="center" vertical="center" textRotation="0" wrapText="0" indent="0" justifyLastLine="0" shrinkToFit="0" readingOrder="0"/>
      <border diagonalUp="0" diagonalDown="0">
        <left/>
        <right/>
        <top/>
        <bottom style="thin">
          <color rgb="FFCBD5E0"/>
        </bottom>
        <vertical/>
        <horizontal/>
      </border>
    </dxf>
    <dxf>
      <font>
        <b val="0"/>
        <i val="0"/>
        <strike val="0"/>
        <condense val="0"/>
        <extend val="0"/>
        <outline val="0"/>
        <shadow val="0"/>
        <u val="none"/>
        <vertAlign val="baseline"/>
        <sz val="9"/>
        <color rgb="FF1B2A4A"/>
        <name val="Arial"/>
        <family val="2"/>
        <scheme val="none"/>
      </font>
      <fill>
        <patternFill patternType="solid">
          <fgColor rgb="FFF2F4F7"/>
          <bgColor rgb="FFFFFFFF"/>
        </patternFill>
      </fill>
      <alignment horizontal="center" vertical="center" textRotation="0" wrapText="0" indent="0" justifyLastLine="0" shrinkToFit="0" readingOrder="0"/>
      <border diagonalUp="0" diagonalDown="0">
        <left/>
        <right/>
        <top/>
        <bottom style="thin">
          <color rgb="FFCBD5E0"/>
        </bottom>
        <vertical/>
        <horizontal/>
      </border>
    </dxf>
    <dxf>
      <font>
        <b val="0"/>
        <i val="0"/>
        <strike val="0"/>
        <condense val="0"/>
        <extend val="0"/>
        <outline val="0"/>
        <shadow val="0"/>
        <u val="none"/>
        <vertAlign val="baseline"/>
        <sz val="9"/>
        <color rgb="FF1B2A4A"/>
        <name val="Arial"/>
        <family val="2"/>
        <scheme val="none"/>
      </font>
      <fill>
        <patternFill patternType="solid">
          <fgColor rgb="FFF2F4F7"/>
          <bgColor rgb="FFFFFFFF"/>
        </patternFill>
      </fill>
      <alignment horizontal="center" vertical="center" textRotation="0" wrapText="0" indent="0" justifyLastLine="0" shrinkToFit="0" readingOrder="0"/>
      <border diagonalUp="0" diagonalDown="0">
        <left/>
        <right/>
        <top/>
        <bottom style="thin">
          <color rgb="FFCBD5E0"/>
        </bottom>
        <vertical/>
        <horizontal/>
      </border>
    </dxf>
    <dxf>
      <font>
        <b val="0"/>
        <i val="0"/>
        <strike val="0"/>
        <condense val="0"/>
        <extend val="0"/>
        <outline val="0"/>
        <shadow val="0"/>
        <u val="none"/>
        <vertAlign val="baseline"/>
        <sz val="9"/>
        <color rgb="FF1B2A4A"/>
        <name val="Arial"/>
        <family val="2"/>
        <scheme val="none"/>
      </font>
      <numFmt numFmtId="19" formatCode="m/d/yyyy"/>
      <fill>
        <patternFill patternType="solid">
          <fgColor rgb="FFF2F4F7"/>
          <bgColor rgb="FFFFFFFF"/>
        </patternFill>
      </fill>
      <alignment horizontal="center" vertical="center" textRotation="0" wrapText="0" indent="0" justifyLastLine="0" shrinkToFit="0" readingOrder="0"/>
      <border diagonalUp="0" diagonalDown="0">
        <left/>
        <right/>
        <top/>
        <bottom style="thin">
          <color rgb="FFCBD5E0"/>
        </bottom>
        <vertical/>
        <horizontal/>
      </border>
    </dxf>
    <dxf>
      <border outline="0">
        <bottom style="thin">
          <color rgb="FFCBD5E0"/>
        </bottom>
      </border>
    </dxf>
    <dxf>
      <border outline="0">
        <top style="thin">
          <color rgb="FF3B82F6"/>
        </top>
        <bottom style="thin">
          <color rgb="FFCBD5E0"/>
        </bottom>
      </border>
    </dxf>
    <dxf>
      <font>
        <b val="0"/>
        <i val="0"/>
        <strike val="0"/>
        <condense val="0"/>
        <extend val="0"/>
        <outline val="0"/>
        <shadow val="0"/>
        <u val="none"/>
        <vertAlign val="baseline"/>
        <sz val="9"/>
        <color rgb="FF1B2A4A"/>
        <name val="Arial"/>
        <family val="2"/>
        <scheme val="none"/>
      </font>
      <fill>
        <patternFill patternType="solid">
          <fgColor rgb="FFF2F4F7"/>
          <bgColor rgb="FFFFFFFF"/>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rgb="FF003366"/>
          <bgColor rgb="FF1B2A4A"/>
        </patternFill>
      </fill>
      <alignment horizontal="center" vertical="center" textRotation="0" wrapText="1" indent="0" justifyLastLine="0" shrinkToFit="0" readingOrder="0"/>
      <border diagonalUp="0" diagonalDown="0" outline="0">
        <left style="thin">
          <color rgb="FFCBD5E0"/>
        </left>
        <right style="thin">
          <color rgb="FFCBD5E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08080"/>
      <rgbColor rgb="FF9999FF"/>
      <rgbColor rgb="FF993366"/>
      <rgbColor rgb="FFF2F4F7"/>
      <rgbColor rgb="FFEBF5FB"/>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D6E4F0"/>
      <rgbColor rgb="FFD9D9D9"/>
      <rgbColor rgb="FFFFFF99"/>
      <rgbColor rgb="FF99CCFF"/>
      <rgbColor rgb="FFFF99CC"/>
      <rgbColor rgb="FFCC99FF"/>
      <rgbColor rgb="FFFFCC99"/>
      <rgbColor rgb="FF3366FF"/>
      <rgbColor rgb="FF46B1E1"/>
      <rgbColor rgb="FF99CC00"/>
      <rgbColor rgb="FFFFCC00"/>
      <rgbColor rgb="FFE07B2A"/>
      <rgbColor rgb="FFE97132"/>
      <rgbColor rgb="FF595959"/>
      <rgbColor rgb="FF969696"/>
      <rgbColor rgb="FF003366"/>
      <rgbColor rgb="FF339966"/>
      <rgbColor rgb="FF003300"/>
      <rgbColor rgb="FF4A5568"/>
      <rgbColor rgb="FFC04F15"/>
      <rgbColor rgb="FF993366"/>
      <rgbColor rgb="FF2E4D7B"/>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2A4A"/>
                </a:solidFill>
                <a:latin typeface="Arial"/>
                <a:ea typeface="Arial"/>
                <a:cs typeface="Arial"/>
              </a:defRPr>
            </a:pPr>
            <a:r>
              <a:rPr lang="en-US"/>
              <a:t>Demand Forecast with Confidence Intervals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2A4A"/>
              </a:solidFill>
              <a:latin typeface="Arial"/>
              <a:ea typeface="Arial"/>
              <a:cs typeface="Arial"/>
            </a:defRPr>
          </a:pPr>
          <a:endParaRPr lang="en-US"/>
        </a:p>
      </c:txPr>
    </c:title>
    <c:autoTitleDeleted val="0"/>
    <c:plotArea>
      <c:layout/>
      <c:lineChart>
        <c:grouping val="standard"/>
        <c:varyColors val="0"/>
        <c:ser>
          <c:idx val="3"/>
          <c:order val="0"/>
          <c:tx>
            <c:strRef>
              <c:f>_ChartData!$B$1</c:f>
              <c:strCache>
                <c:ptCount val="1"/>
                <c:pt idx="0">
                  <c:v>Demand</c:v>
                </c:pt>
              </c:strCache>
            </c:strRef>
          </c:tx>
          <c:spPr>
            <a:ln w="28575" cap="rnd">
              <a:solidFill>
                <a:srgbClr val="1B2A4A"/>
              </a:solidFill>
              <a:prstDash val="solid"/>
              <a:round/>
            </a:ln>
            <a:effectLst/>
          </c:spPr>
          <c:marker>
            <c:symbol val="none"/>
          </c:marker>
          <c:val>
            <c:numRef>
              <c:f>_ChartData!$B$2:$B$505</c:f>
              <c:numCache>
                <c:formatCode>General</c:formatCode>
                <c:ptCount val="504"/>
                <c:pt idx="0">
                  <c:v>142419</c:v>
                </c:pt>
                <c:pt idx="1">
                  <c:v>142584</c:v>
                </c:pt>
                <c:pt idx="2">
                  <c:v>142120</c:v>
                </c:pt>
                <c:pt idx="3">
                  <c:v>143659</c:v>
                </c:pt>
                <c:pt idx="4">
                  <c:v>144239</c:v>
                </c:pt>
                <c:pt idx="5">
                  <c:v>145273</c:v>
                </c:pt>
                <c:pt idx="6">
                  <c:v>146743</c:v>
                </c:pt>
                <c:pt idx="7">
                  <c:v>146070</c:v>
                </c:pt>
                <c:pt idx="8">
                  <c:v>147932</c:v>
                </c:pt>
                <c:pt idx="9">
                  <c:v>149346</c:v>
                </c:pt>
                <c:pt idx="10">
                  <c:v>149131</c:v>
                </c:pt>
                <c:pt idx="11">
                  <c:v>150578</c:v>
                </c:pt>
                <c:pt idx="12">
                  <c:v>152329</c:v>
                </c:pt>
                <c:pt idx="13">
                  <c:v>151742</c:v>
                </c:pt>
                <c:pt idx="14">
                  <c:v>150525</c:v>
                </c:pt>
                <c:pt idx="15">
                  <c:v>154720</c:v>
                </c:pt>
                <c:pt idx="16">
                  <c:v>155537</c:v>
                </c:pt>
                <c:pt idx="17">
                  <c:v>155353</c:v>
                </c:pt>
                <c:pt idx="18">
                  <c:v>158267</c:v>
                </c:pt>
                <c:pt idx="19">
                  <c:v>157425</c:v>
                </c:pt>
                <c:pt idx="20">
                  <c:v>158535</c:v>
                </c:pt>
                <c:pt idx="21">
                  <c:v>159773</c:v>
                </c:pt>
                <c:pt idx="22">
                  <c:v>162004</c:v>
                </c:pt>
                <c:pt idx="23">
                  <c:v>163258</c:v>
                </c:pt>
                <c:pt idx="24">
                  <c:v>162369</c:v>
                </c:pt>
                <c:pt idx="25">
                  <c:v>165075</c:v>
                </c:pt>
                <c:pt idx="26">
                  <c:v>168330</c:v>
                </c:pt>
                <c:pt idx="27">
                  <c:v>168262</c:v>
                </c:pt>
                <c:pt idx="28">
                  <c:v>167412</c:v>
                </c:pt>
                <c:pt idx="29">
                  <c:v>169337</c:v>
                </c:pt>
                <c:pt idx="30">
                  <c:v>169514</c:v>
                </c:pt>
                <c:pt idx="31">
                  <c:v>172332</c:v>
                </c:pt>
                <c:pt idx="32">
                  <c:v>174018</c:v>
                </c:pt>
                <c:pt idx="33">
                  <c:v>175309</c:v>
                </c:pt>
                <c:pt idx="34">
                  <c:v>175761</c:v>
                </c:pt>
                <c:pt idx="35">
                  <c:v>176168</c:v>
                </c:pt>
                <c:pt idx="36">
                  <c:v>177136</c:v>
                </c:pt>
                <c:pt idx="37">
                  <c:v>174560</c:v>
                </c:pt>
                <c:pt idx="38">
                  <c:v>176376</c:v>
                </c:pt>
                <c:pt idx="39">
                  <c:v>176353</c:v>
                </c:pt>
                <c:pt idx="40">
                  <c:v>179020</c:v>
                </c:pt>
                <c:pt idx="41">
                  <c:v>181382</c:v>
                </c:pt>
                <c:pt idx="42">
                  <c:v>180019</c:v>
                </c:pt>
                <c:pt idx="43">
                  <c:v>181787</c:v>
                </c:pt>
                <c:pt idx="44">
                  <c:v>182074</c:v>
                </c:pt>
                <c:pt idx="45">
                  <c:v>181411</c:v>
                </c:pt>
                <c:pt idx="46">
                  <c:v>184327</c:v>
                </c:pt>
                <c:pt idx="47">
                  <c:v>184841</c:v>
                </c:pt>
                <c:pt idx="48">
                  <c:v>184636</c:v>
                </c:pt>
                <c:pt idx="49">
                  <c:v>187576</c:v>
                </c:pt>
                <c:pt idx="50">
                  <c:v>188237</c:v>
                </c:pt>
                <c:pt idx="51">
                  <c:v>189778</c:v>
                </c:pt>
                <c:pt idx="52">
                  <c:v>191544</c:v>
                </c:pt>
                <c:pt idx="53">
                  <c:v>189960</c:v>
                </c:pt>
                <c:pt idx="54">
                  <c:v>191113</c:v>
                </c:pt>
                <c:pt idx="55">
                  <c:v>191139</c:v>
                </c:pt>
                <c:pt idx="56">
                  <c:v>193303</c:v>
                </c:pt>
                <c:pt idx="57">
                  <c:v>195420</c:v>
                </c:pt>
                <c:pt idx="58">
                  <c:v>194860</c:v>
                </c:pt>
                <c:pt idx="59">
                  <c:v>195318</c:v>
                </c:pt>
                <c:pt idx="60">
                  <c:v>197447</c:v>
                </c:pt>
                <c:pt idx="61">
                  <c:v>198891</c:v>
                </c:pt>
                <c:pt idx="62">
                  <c:v>200352</c:v>
                </c:pt>
                <c:pt idx="63">
                  <c:v>197212</c:v>
                </c:pt>
                <c:pt idx="64">
                  <c:v>196937</c:v>
                </c:pt>
                <c:pt idx="65">
                  <c:v>199311</c:v>
                </c:pt>
                <c:pt idx="66">
                  <c:v>201751</c:v>
                </c:pt>
                <c:pt idx="67">
                  <c:v>201892</c:v>
                </c:pt>
                <c:pt idx="68">
                  <c:v>202992</c:v>
                </c:pt>
                <c:pt idx="69">
                  <c:v>203055</c:v>
                </c:pt>
                <c:pt idx="70">
                  <c:v>202778</c:v>
                </c:pt>
                <c:pt idx="71">
                  <c:v>203837</c:v>
                </c:pt>
                <c:pt idx="72">
                  <c:v>204505</c:v>
                </c:pt>
                <c:pt idx="73">
                  <c:v>204207</c:v>
                </c:pt>
                <c:pt idx="74">
                  <c:v>205311</c:v>
                </c:pt>
                <c:pt idx="75">
                  <c:v>208683</c:v>
                </c:pt>
                <c:pt idx="76">
                  <c:v>209165</c:v>
                </c:pt>
                <c:pt idx="77">
                  <c:v>211222</c:v>
                </c:pt>
                <c:pt idx="78">
                  <c:v>209658</c:v>
                </c:pt>
                <c:pt idx="79">
                  <c:v>207737</c:v>
                </c:pt>
                <c:pt idx="80">
                  <c:v>210112</c:v>
                </c:pt>
                <c:pt idx="81">
                  <c:v>213794</c:v>
                </c:pt>
                <c:pt idx="82">
                  <c:v>215194</c:v>
                </c:pt>
                <c:pt idx="83">
                  <c:v>217396</c:v>
                </c:pt>
                <c:pt idx="84">
                  <c:v>217930</c:v>
                </c:pt>
                <c:pt idx="85">
                  <c:v>220769</c:v>
                </c:pt>
                <c:pt idx="86">
                  <c:v>222199</c:v>
                </c:pt>
                <c:pt idx="87">
                  <c:v>223837</c:v>
                </c:pt>
                <c:pt idx="88">
                  <c:v>225577</c:v>
                </c:pt>
                <c:pt idx="89">
                  <c:v>226474</c:v>
                </c:pt>
                <c:pt idx="90">
                  <c:v>228424</c:v>
                </c:pt>
                <c:pt idx="91">
                  <c:v>230902</c:v>
                </c:pt>
                <c:pt idx="92">
                  <c:v>231912</c:v>
                </c:pt>
                <c:pt idx="93">
                  <c:v>231254</c:v>
                </c:pt>
                <c:pt idx="94">
                  <c:v>234425</c:v>
                </c:pt>
                <c:pt idx="95">
                  <c:v>239589</c:v>
                </c:pt>
                <c:pt idx="96">
                  <c:v>237541</c:v>
                </c:pt>
                <c:pt idx="97">
                  <c:v>241541</c:v>
                </c:pt>
                <c:pt idx="98">
                  <c:v>244533</c:v>
                </c:pt>
                <c:pt idx="99">
                  <c:v>239552</c:v>
                </c:pt>
                <c:pt idx="100">
                  <c:v>241546</c:v>
                </c:pt>
                <c:pt idx="101">
                  <c:v>243226</c:v>
                </c:pt>
                <c:pt idx="102">
                  <c:v>240979</c:v>
                </c:pt>
                <c:pt idx="103">
                  <c:v>242318</c:v>
                </c:pt>
                <c:pt idx="104">
                  <c:v>245520</c:v>
                </c:pt>
                <c:pt idx="105">
                  <c:v>245399</c:v>
                </c:pt>
                <c:pt idx="106">
                  <c:v>243846</c:v>
                </c:pt>
                <c:pt idx="107">
                  <c:v>243844</c:v>
                </c:pt>
                <c:pt idx="108">
                  <c:v>247339</c:v>
                </c:pt>
                <c:pt idx="109">
                  <c:v>247289</c:v>
                </c:pt>
                <c:pt idx="110">
                  <c:v>244514</c:v>
                </c:pt>
                <c:pt idx="111">
                  <c:v>249113</c:v>
                </c:pt>
                <c:pt idx="112">
                  <c:v>250250</c:v>
                </c:pt>
                <c:pt idx="113">
                  <c:v>248836</c:v>
                </c:pt>
                <c:pt idx="114">
                  <c:v>247336</c:v>
                </c:pt>
                <c:pt idx="115">
                  <c:v>249590</c:v>
                </c:pt>
                <c:pt idx="116">
                  <c:v>243130</c:v>
                </c:pt>
                <c:pt idx="117">
                  <c:v>262862</c:v>
                </c:pt>
                <c:pt idx="118">
                  <c:v>254084</c:v>
                </c:pt>
                <c:pt idx="119">
                  <c:v>249879</c:v>
                </c:pt>
                <c:pt idx="120">
                  <c:v>250603</c:v>
                </c:pt>
                <c:pt idx="121">
                  <c:v>252279</c:v>
                </c:pt>
                <c:pt idx="122">
                  <c:v>251542</c:v>
                </c:pt>
                <c:pt idx="123">
                  <c:v>254543</c:v>
                </c:pt>
                <c:pt idx="124">
                  <c:v>252390</c:v>
                </c:pt>
                <c:pt idx="125">
                  <c:v>253652</c:v>
                </c:pt>
                <c:pt idx="126">
                  <c:v>257339</c:v>
                </c:pt>
                <c:pt idx="127">
                  <c:v>259050</c:v>
                </c:pt>
                <c:pt idx="128">
                  <c:v>254081</c:v>
                </c:pt>
                <c:pt idx="129">
                  <c:v>256131</c:v>
                </c:pt>
                <c:pt idx="130">
                  <c:v>256350</c:v>
                </c:pt>
                <c:pt idx="131">
                  <c:v>259206</c:v>
                </c:pt>
                <c:pt idx="132">
                  <c:v>261394</c:v>
                </c:pt>
                <c:pt idx="133">
                  <c:v>257531</c:v>
                </c:pt>
                <c:pt idx="134">
                  <c:v>260566</c:v>
                </c:pt>
                <c:pt idx="135">
                  <c:v>261375</c:v>
                </c:pt>
                <c:pt idx="136">
                  <c:v>261392</c:v>
                </c:pt>
                <c:pt idx="137">
                  <c:v>265331</c:v>
                </c:pt>
                <c:pt idx="138">
                  <c:v>267683</c:v>
                </c:pt>
                <c:pt idx="139">
                  <c:v>270612</c:v>
                </c:pt>
                <c:pt idx="140">
                  <c:v>270212</c:v>
                </c:pt>
                <c:pt idx="141">
                  <c:v>269060</c:v>
                </c:pt>
                <c:pt idx="142">
                  <c:v>270161</c:v>
                </c:pt>
                <c:pt idx="143">
                  <c:v>271550</c:v>
                </c:pt>
                <c:pt idx="144">
                  <c:v>272465</c:v>
                </c:pt>
                <c:pt idx="145">
                  <c:v>274360</c:v>
                </c:pt>
                <c:pt idx="146">
                  <c:v>279692</c:v>
                </c:pt>
                <c:pt idx="147">
                  <c:v>277625</c:v>
                </c:pt>
                <c:pt idx="148">
                  <c:v>281281</c:v>
                </c:pt>
                <c:pt idx="149">
                  <c:v>279141</c:v>
                </c:pt>
                <c:pt idx="150">
                  <c:v>281350</c:v>
                </c:pt>
                <c:pt idx="151">
                  <c:v>281006</c:v>
                </c:pt>
                <c:pt idx="152">
                  <c:v>286866</c:v>
                </c:pt>
                <c:pt idx="153">
                  <c:v>287700</c:v>
                </c:pt>
                <c:pt idx="154">
                  <c:v>289679</c:v>
                </c:pt>
                <c:pt idx="155">
                  <c:v>293401</c:v>
                </c:pt>
                <c:pt idx="156">
                  <c:v>290111</c:v>
                </c:pt>
                <c:pt idx="157">
                  <c:v>293710</c:v>
                </c:pt>
                <c:pt idx="158">
                  <c:v>294743</c:v>
                </c:pt>
                <c:pt idx="159">
                  <c:v>297153</c:v>
                </c:pt>
                <c:pt idx="160">
                  <c:v>295314</c:v>
                </c:pt>
                <c:pt idx="161">
                  <c:v>305083</c:v>
                </c:pt>
                <c:pt idx="162">
                  <c:v>307320</c:v>
                </c:pt>
                <c:pt idx="163">
                  <c:v>303216</c:v>
                </c:pt>
                <c:pt idx="164">
                  <c:v>304187</c:v>
                </c:pt>
                <c:pt idx="165">
                  <c:v>303989</c:v>
                </c:pt>
                <c:pt idx="166">
                  <c:v>306566</c:v>
                </c:pt>
                <c:pt idx="167">
                  <c:v>306723</c:v>
                </c:pt>
                <c:pt idx="168">
                  <c:v>315566</c:v>
                </c:pt>
                <c:pt idx="169">
                  <c:v>313440</c:v>
                </c:pt>
                <c:pt idx="170">
                  <c:v>314471</c:v>
                </c:pt>
                <c:pt idx="171">
                  <c:v>316094</c:v>
                </c:pt>
                <c:pt idx="172">
                  <c:v>314919</c:v>
                </c:pt>
                <c:pt idx="173">
                  <c:v>316978</c:v>
                </c:pt>
                <c:pt idx="174">
                  <c:v>317984</c:v>
                </c:pt>
                <c:pt idx="175">
                  <c:v>318802</c:v>
                </c:pt>
                <c:pt idx="176">
                  <c:v>316400</c:v>
                </c:pt>
                <c:pt idx="177">
                  <c:v>316145</c:v>
                </c:pt>
                <c:pt idx="178">
                  <c:v>317123</c:v>
                </c:pt>
                <c:pt idx="179">
                  <c:v>320312</c:v>
                </c:pt>
                <c:pt idx="180">
                  <c:v>320305</c:v>
                </c:pt>
                <c:pt idx="181">
                  <c:v>321434</c:v>
                </c:pt>
                <c:pt idx="182">
                  <c:v>323708</c:v>
                </c:pt>
                <c:pt idx="183">
                  <c:v>322878</c:v>
                </c:pt>
                <c:pt idx="184">
                  <c:v>327266</c:v>
                </c:pt>
                <c:pt idx="185">
                  <c:v>324076</c:v>
                </c:pt>
                <c:pt idx="186">
                  <c:v>325455</c:v>
                </c:pt>
                <c:pt idx="187">
                  <c:v>327444</c:v>
                </c:pt>
                <c:pt idx="188">
                  <c:v>328668</c:v>
                </c:pt>
                <c:pt idx="189">
                  <c:v>330544</c:v>
                </c:pt>
                <c:pt idx="190">
                  <c:v>334021</c:v>
                </c:pt>
                <c:pt idx="191">
                  <c:v>329259</c:v>
                </c:pt>
                <c:pt idx="192">
                  <c:v>330478</c:v>
                </c:pt>
                <c:pt idx="193">
                  <c:v>327869</c:v>
                </c:pt>
                <c:pt idx="194">
                  <c:v>328493</c:v>
                </c:pt>
                <c:pt idx="195">
                  <c:v>328037</c:v>
                </c:pt>
                <c:pt idx="196">
                  <c:v>331088</c:v>
                </c:pt>
                <c:pt idx="197">
                  <c:v>331764</c:v>
                </c:pt>
                <c:pt idx="198">
                  <c:v>330301</c:v>
                </c:pt>
                <c:pt idx="199">
                  <c:v>327296</c:v>
                </c:pt>
                <c:pt idx="200">
                  <c:v>321568</c:v>
                </c:pt>
                <c:pt idx="201">
                  <c:v>308968</c:v>
                </c:pt>
                <c:pt idx="202">
                  <c:v>295396</c:v>
                </c:pt>
                <c:pt idx="203">
                  <c:v>287571</c:v>
                </c:pt>
                <c:pt idx="204">
                  <c:v>292449</c:v>
                </c:pt>
                <c:pt idx="205">
                  <c:v>291429</c:v>
                </c:pt>
                <c:pt idx="206">
                  <c:v>286022</c:v>
                </c:pt>
                <c:pt idx="207">
                  <c:v>287530</c:v>
                </c:pt>
                <c:pt idx="208">
                  <c:v>290215</c:v>
                </c:pt>
                <c:pt idx="209">
                  <c:v>295458</c:v>
                </c:pt>
                <c:pt idx="210">
                  <c:v>296928</c:v>
                </c:pt>
                <c:pt idx="211">
                  <c:v>302871</c:v>
                </c:pt>
                <c:pt idx="212">
                  <c:v>294449</c:v>
                </c:pt>
                <c:pt idx="213">
                  <c:v>298067</c:v>
                </c:pt>
                <c:pt idx="214">
                  <c:v>300583</c:v>
                </c:pt>
                <c:pt idx="215">
                  <c:v>301959</c:v>
                </c:pt>
                <c:pt idx="216">
                  <c:v>302325</c:v>
                </c:pt>
                <c:pt idx="217">
                  <c:v>302310</c:v>
                </c:pt>
                <c:pt idx="218">
                  <c:v>309525</c:v>
                </c:pt>
                <c:pt idx="219">
                  <c:v>312143</c:v>
                </c:pt>
                <c:pt idx="220">
                  <c:v>309158</c:v>
                </c:pt>
                <c:pt idx="221">
                  <c:v>308588</c:v>
                </c:pt>
                <c:pt idx="222">
                  <c:v>309543</c:v>
                </c:pt>
                <c:pt idx="223">
                  <c:v>310761</c:v>
                </c:pt>
                <c:pt idx="224">
                  <c:v>313785</c:v>
                </c:pt>
                <c:pt idx="225">
                  <c:v>317699</c:v>
                </c:pt>
                <c:pt idx="226">
                  <c:v>320695</c:v>
                </c:pt>
                <c:pt idx="227">
                  <c:v>323421</c:v>
                </c:pt>
                <c:pt idx="228">
                  <c:v>325674</c:v>
                </c:pt>
                <c:pt idx="229">
                  <c:v>328049</c:v>
                </c:pt>
                <c:pt idx="230">
                  <c:v>331161</c:v>
                </c:pt>
                <c:pt idx="231">
                  <c:v>333189</c:v>
                </c:pt>
                <c:pt idx="232">
                  <c:v>332409</c:v>
                </c:pt>
                <c:pt idx="233">
                  <c:v>335108</c:v>
                </c:pt>
                <c:pt idx="234">
                  <c:v>334922</c:v>
                </c:pt>
                <c:pt idx="235">
                  <c:v>335163</c:v>
                </c:pt>
                <c:pt idx="236">
                  <c:v>339011</c:v>
                </c:pt>
                <c:pt idx="237">
                  <c:v>341058</c:v>
                </c:pt>
                <c:pt idx="238">
                  <c:v>342214</c:v>
                </c:pt>
                <c:pt idx="239">
                  <c:v>343093</c:v>
                </c:pt>
                <c:pt idx="240">
                  <c:v>345656</c:v>
                </c:pt>
                <c:pt idx="241">
                  <c:v>350345</c:v>
                </c:pt>
                <c:pt idx="242">
                  <c:v>351748</c:v>
                </c:pt>
                <c:pt idx="243">
                  <c:v>349722</c:v>
                </c:pt>
                <c:pt idx="244">
                  <c:v>349064</c:v>
                </c:pt>
                <c:pt idx="245">
                  <c:v>345339</c:v>
                </c:pt>
                <c:pt idx="246">
                  <c:v>346936</c:v>
                </c:pt>
                <c:pt idx="247">
                  <c:v>351782</c:v>
                </c:pt>
                <c:pt idx="248">
                  <c:v>354575</c:v>
                </c:pt>
                <c:pt idx="249">
                  <c:v>354747</c:v>
                </c:pt>
                <c:pt idx="250">
                  <c:v>356158</c:v>
                </c:pt>
                <c:pt idx="251">
                  <c:v>357519</c:v>
                </c:pt>
                <c:pt idx="252">
                  <c:v>360257</c:v>
                </c:pt>
                <c:pt idx="253">
                  <c:v>365227</c:v>
                </c:pt>
                <c:pt idx="254">
                  <c:v>362148</c:v>
                </c:pt>
                <c:pt idx="255">
                  <c:v>360499</c:v>
                </c:pt>
                <c:pt idx="256">
                  <c:v>362842</c:v>
                </c:pt>
                <c:pt idx="257">
                  <c:v>364181</c:v>
                </c:pt>
                <c:pt idx="258">
                  <c:v>366243</c:v>
                </c:pt>
                <c:pt idx="259">
                  <c:v>365543</c:v>
                </c:pt>
                <c:pt idx="260">
                  <c:v>365668</c:v>
                </c:pt>
                <c:pt idx="261">
                  <c:v>366444</c:v>
                </c:pt>
                <c:pt idx="262">
                  <c:v>366868</c:v>
                </c:pt>
                <c:pt idx="263">
                  <c:v>369499</c:v>
                </c:pt>
                <c:pt idx="264">
                  <c:v>366684</c:v>
                </c:pt>
                <c:pt idx="265">
                  <c:v>371335</c:v>
                </c:pt>
                <c:pt idx="266">
                  <c:v>375285</c:v>
                </c:pt>
                <c:pt idx="267">
                  <c:v>379432</c:v>
                </c:pt>
                <c:pt idx="268">
                  <c:v>379787</c:v>
                </c:pt>
                <c:pt idx="269">
                  <c:v>380618</c:v>
                </c:pt>
                <c:pt idx="270">
                  <c:v>381045</c:v>
                </c:pt>
                <c:pt idx="271">
                  <c:v>384017</c:v>
                </c:pt>
                <c:pt idx="272">
                  <c:v>382277</c:v>
                </c:pt>
                <c:pt idx="273">
                  <c:v>383323</c:v>
                </c:pt>
                <c:pt idx="274">
                  <c:v>384459</c:v>
                </c:pt>
                <c:pt idx="275">
                  <c:v>380682</c:v>
                </c:pt>
                <c:pt idx="276">
                  <c:v>378518</c:v>
                </c:pt>
                <c:pt idx="277">
                  <c:v>377594</c:v>
                </c:pt>
                <c:pt idx="278">
                  <c:v>383681</c:v>
                </c:pt>
                <c:pt idx="279">
                  <c:v>383893</c:v>
                </c:pt>
                <c:pt idx="280">
                  <c:v>387155</c:v>
                </c:pt>
                <c:pt idx="281">
                  <c:v>387199</c:v>
                </c:pt>
                <c:pt idx="282">
                  <c:v>390953</c:v>
                </c:pt>
                <c:pt idx="283">
                  <c:v>390570</c:v>
                </c:pt>
                <c:pt idx="284">
                  <c:v>388551</c:v>
                </c:pt>
                <c:pt idx="285">
                  <c:v>387066</c:v>
                </c:pt>
                <c:pt idx="286">
                  <c:v>388530</c:v>
                </c:pt>
                <c:pt idx="287">
                  <c:v>389551</c:v>
                </c:pt>
                <c:pt idx="288">
                  <c:v>387483</c:v>
                </c:pt>
                <c:pt idx="289">
                  <c:v>390029</c:v>
                </c:pt>
                <c:pt idx="290">
                  <c:v>388998</c:v>
                </c:pt>
                <c:pt idx="291">
                  <c:v>391112</c:v>
                </c:pt>
                <c:pt idx="292">
                  <c:v>392299</c:v>
                </c:pt>
                <c:pt idx="293">
                  <c:v>397113</c:v>
                </c:pt>
                <c:pt idx="294">
                  <c:v>396545</c:v>
                </c:pt>
                <c:pt idx="295">
                  <c:v>396293</c:v>
                </c:pt>
                <c:pt idx="296">
                  <c:v>398797</c:v>
                </c:pt>
                <c:pt idx="297">
                  <c:v>399637</c:v>
                </c:pt>
                <c:pt idx="298">
                  <c:v>398680</c:v>
                </c:pt>
                <c:pt idx="299">
                  <c:v>405114</c:v>
                </c:pt>
                <c:pt idx="300">
                  <c:v>408269</c:v>
                </c:pt>
                <c:pt idx="301">
                  <c:v>408155</c:v>
                </c:pt>
                <c:pt idx="302">
                  <c:v>407630</c:v>
                </c:pt>
                <c:pt idx="303">
                  <c:v>409134</c:v>
                </c:pt>
                <c:pt idx="304">
                  <c:v>406609</c:v>
                </c:pt>
                <c:pt idx="305">
                  <c:v>409067</c:v>
                </c:pt>
                <c:pt idx="306">
                  <c:v>409113</c:v>
                </c:pt>
                <c:pt idx="307">
                  <c:v>409606</c:v>
                </c:pt>
                <c:pt idx="308">
                  <c:v>419021</c:v>
                </c:pt>
                <c:pt idx="309">
                  <c:v>418999</c:v>
                </c:pt>
                <c:pt idx="310">
                  <c:v>423224</c:v>
                </c:pt>
                <c:pt idx="311">
                  <c:v>425545</c:v>
                </c:pt>
                <c:pt idx="312">
                  <c:v>423202</c:v>
                </c:pt>
                <c:pt idx="313">
                  <c:v>425507</c:v>
                </c:pt>
                <c:pt idx="314">
                  <c:v>425087</c:v>
                </c:pt>
                <c:pt idx="315">
                  <c:v>425899</c:v>
                </c:pt>
                <c:pt idx="316">
                  <c:v>432340</c:v>
                </c:pt>
                <c:pt idx="317">
                  <c:v>430008</c:v>
                </c:pt>
                <c:pt idx="318">
                  <c:v>432070</c:v>
                </c:pt>
                <c:pt idx="319">
                  <c:v>432031</c:v>
                </c:pt>
                <c:pt idx="320">
                  <c:v>431438</c:v>
                </c:pt>
                <c:pt idx="321">
                  <c:v>435894</c:v>
                </c:pt>
                <c:pt idx="322">
                  <c:v>438612</c:v>
                </c:pt>
                <c:pt idx="323">
                  <c:v>428932</c:v>
                </c:pt>
                <c:pt idx="324">
                  <c:v>430246</c:v>
                </c:pt>
                <c:pt idx="325">
                  <c:v>431194</c:v>
                </c:pt>
                <c:pt idx="326">
                  <c:v>438196</c:v>
                </c:pt>
                <c:pt idx="327">
                  <c:v>437735</c:v>
                </c:pt>
                <c:pt idx="328">
                  <c:v>442514</c:v>
                </c:pt>
                <c:pt idx="329">
                  <c:v>442116</c:v>
                </c:pt>
                <c:pt idx="330">
                  <c:v>445304</c:v>
                </c:pt>
                <c:pt idx="331">
                  <c:v>448519</c:v>
                </c:pt>
                <c:pt idx="332">
                  <c:v>444555</c:v>
                </c:pt>
                <c:pt idx="333">
                  <c:v>445627</c:v>
                </c:pt>
                <c:pt idx="334">
                  <c:v>449040</c:v>
                </c:pt>
                <c:pt idx="335">
                  <c:v>449643</c:v>
                </c:pt>
                <c:pt idx="336">
                  <c:v>447774</c:v>
                </c:pt>
                <c:pt idx="337">
                  <c:v>447972</c:v>
                </c:pt>
                <c:pt idx="338">
                  <c:v>420954</c:v>
                </c:pt>
                <c:pt idx="339">
                  <c:v>370296</c:v>
                </c:pt>
                <c:pt idx="340">
                  <c:v>437957</c:v>
                </c:pt>
                <c:pt idx="341">
                  <c:v>465800</c:v>
                </c:pt>
                <c:pt idx="342">
                  <c:v>471873</c:v>
                </c:pt>
                <c:pt idx="343">
                  <c:v>473696</c:v>
                </c:pt>
                <c:pt idx="344">
                  <c:v>482702</c:v>
                </c:pt>
                <c:pt idx="345">
                  <c:v>480763</c:v>
                </c:pt>
                <c:pt idx="346">
                  <c:v>478079</c:v>
                </c:pt>
                <c:pt idx="347">
                  <c:v>485949</c:v>
                </c:pt>
                <c:pt idx="348">
                  <c:v>501604</c:v>
                </c:pt>
                <c:pt idx="349">
                  <c:v>488805</c:v>
                </c:pt>
                <c:pt idx="350">
                  <c:v>539607</c:v>
                </c:pt>
                <c:pt idx="351">
                  <c:v>542199</c:v>
                </c:pt>
                <c:pt idx="352">
                  <c:v>536589</c:v>
                </c:pt>
                <c:pt idx="353">
                  <c:v>540152</c:v>
                </c:pt>
                <c:pt idx="354">
                  <c:v>528600</c:v>
                </c:pt>
                <c:pt idx="355">
                  <c:v>532477</c:v>
                </c:pt>
                <c:pt idx="356">
                  <c:v>536651</c:v>
                </c:pt>
                <c:pt idx="357">
                  <c:v>545361</c:v>
                </c:pt>
                <c:pt idx="358">
                  <c:v>551082</c:v>
                </c:pt>
                <c:pt idx="359">
                  <c:v>547277</c:v>
                </c:pt>
                <c:pt idx="360">
                  <c:v>560257</c:v>
                </c:pt>
                <c:pt idx="361">
                  <c:v>563777</c:v>
                </c:pt>
                <c:pt idx="362">
                  <c:v>574485</c:v>
                </c:pt>
                <c:pt idx="363">
                  <c:v>580943</c:v>
                </c:pt>
                <c:pt idx="364">
                  <c:v>579844</c:v>
                </c:pt>
                <c:pt idx="365">
                  <c:v>585556</c:v>
                </c:pt>
                <c:pt idx="366">
                  <c:v>579267</c:v>
                </c:pt>
                <c:pt idx="367">
                  <c:v>581196</c:v>
                </c:pt>
                <c:pt idx="368">
                  <c:v>579446</c:v>
                </c:pt>
                <c:pt idx="369">
                  <c:v>585006</c:v>
                </c:pt>
                <c:pt idx="370">
                  <c:v>576356</c:v>
                </c:pt>
                <c:pt idx="371">
                  <c:v>569119</c:v>
                </c:pt>
                <c:pt idx="372">
                  <c:v>591964</c:v>
                </c:pt>
                <c:pt idx="373">
                  <c:v>586165</c:v>
                </c:pt>
                <c:pt idx="374">
                  <c:v>578812</c:v>
                </c:pt>
                <c:pt idx="375">
                  <c:v>583874</c:v>
                </c:pt>
                <c:pt idx="376">
                  <c:v>586286</c:v>
                </c:pt>
                <c:pt idx="377">
                  <c:v>588670</c:v>
                </c:pt>
                <c:pt idx="378">
                  <c:v>589257</c:v>
                </c:pt>
                <c:pt idx="379">
                  <c:v>595191</c:v>
                </c:pt>
                <c:pt idx="380">
                  <c:v>598956</c:v>
                </c:pt>
                <c:pt idx="381">
                  <c:v>595517</c:v>
                </c:pt>
                <c:pt idx="382">
                  <c:v>593567</c:v>
                </c:pt>
                <c:pt idx="383">
                  <c:v>594256</c:v>
                </c:pt>
                <c:pt idx="384">
                  <c:v>588944</c:v>
                </c:pt>
                <c:pt idx="385">
                  <c:v>593206</c:v>
                </c:pt>
                <c:pt idx="386">
                  <c:v>595969</c:v>
                </c:pt>
                <c:pt idx="387">
                  <c:v>595676</c:v>
                </c:pt>
                <c:pt idx="388">
                  <c:v>600372</c:v>
                </c:pt>
                <c:pt idx="389">
                  <c:v>599979</c:v>
                </c:pt>
                <c:pt idx="390">
                  <c:v>605797</c:v>
                </c:pt>
                <c:pt idx="391">
                  <c:v>604173</c:v>
                </c:pt>
                <c:pt idx="392">
                  <c:v>608701</c:v>
                </c:pt>
                <c:pt idx="393">
                  <c:v>612570</c:v>
                </c:pt>
                <c:pt idx="394">
                  <c:v>616833</c:v>
                </c:pt>
                <c:pt idx="395">
                  <c:v>622396</c:v>
                </c:pt>
                <c:pt idx="396">
                  <c:v>615973</c:v>
                </c:pt>
                <c:pt idx="397">
                  <c:v>616714</c:v>
                </c:pt>
                <c:pt idx="398">
                  <c:v>625121</c:v>
                </c:pt>
                <c:pt idx="399">
                  <c:v>623521</c:v>
                </c:pt>
                <c:pt idx="400">
                  <c:v>618037</c:v>
                </c:pt>
                <c:pt idx="401">
                  <c:v>623882</c:v>
                </c:pt>
                <c:pt idx="402">
                  <c:v>627979</c:v>
                </c:pt>
              </c:numCache>
            </c:numRef>
          </c:val>
          <c:smooth val="0"/>
          <c:extLst>
            <c:ext xmlns:c16="http://schemas.microsoft.com/office/drawing/2014/chart" uri="{C3380CC4-5D6E-409C-BE32-E72D297353CC}">
              <c16:uniqueId val="{00000003-93E5-4202-B3CF-1A4E0A4A597F}"/>
            </c:ext>
          </c:extLst>
        </c:ser>
        <c:ser>
          <c:idx val="4"/>
          <c:order val="1"/>
          <c:tx>
            <c:strRef>
              <c:f>_ChartData!$C$1</c:f>
              <c:strCache>
                <c:ptCount val="1"/>
                <c:pt idx="0">
                  <c:v>Forecast(Demand)</c:v>
                </c:pt>
              </c:strCache>
            </c:strRef>
          </c:tx>
          <c:spPr>
            <a:ln w="28575" cap="rnd">
              <a:solidFill>
                <a:srgbClr val="3B82F6"/>
              </a:solidFill>
              <a:prstDash val="solid"/>
              <a:round/>
            </a:ln>
            <a:effectLst/>
          </c:spPr>
          <c:marker>
            <c:symbol val="none"/>
          </c:marker>
          <c:val>
            <c:numRef>
              <c:f>_ChartData!$C$2:$C$505</c:f>
              <c:numCache>
                <c:formatCode>General</c:formatCode>
                <c:ptCount val="504"/>
                <c:pt idx="402">
                  <c:v>627979</c:v>
                </c:pt>
                <c:pt idx="403">
                  <c:v>629045.49458032497</c:v>
                </c:pt>
                <c:pt idx="404">
                  <c:v>630111.98916065099</c:v>
                </c:pt>
                <c:pt idx="405">
                  <c:v>631178.48374097596</c:v>
                </c:pt>
                <c:pt idx="406">
                  <c:v>632244.97832130198</c:v>
                </c:pt>
                <c:pt idx="407">
                  <c:v>633311.47290162696</c:v>
                </c:pt>
                <c:pt idx="408">
                  <c:v>634377.96748195204</c:v>
                </c:pt>
                <c:pt idx="409">
                  <c:v>635444.46206227795</c:v>
                </c:pt>
                <c:pt idx="410">
                  <c:v>636510.95664260304</c:v>
                </c:pt>
                <c:pt idx="411">
                  <c:v>637577.45122292906</c:v>
                </c:pt>
                <c:pt idx="412">
                  <c:v>638643.94580325403</c:v>
                </c:pt>
                <c:pt idx="413">
                  <c:v>639710.440383579</c:v>
                </c:pt>
                <c:pt idx="414">
                  <c:v>640776.93496390502</c:v>
                </c:pt>
                <c:pt idx="415">
                  <c:v>641843.42954422999</c:v>
                </c:pt>
                <c:pt idx="416">
                  <c:v>642909.92412455601</c:v>
                </c:pt>
                <c:pt idx="417">
                  <c:v>643976.41870488098</c:v>
                </c:pt>
                <c:pt idx="418">
                  <c:v>645042.913285207</c:v>
                </c:pt>
                <c:pt idx="419">
                  <c:v>646109.40786553198</c:v>
                </c:pt>
                <c:pt idx="420">
                  <c:v>647175.90244585695</c:v>
                </c:pt>
                <c:pt idx="421">
                  <c:v>648242.39702618297</c:v>
                </c:pt>
                <c:pt idx="422">
                  <c:v>649308.89160650806</c:v>
                </c:pt>
                <c:pt idx="423">
                  <c:v>650375.38618683396</c:v>
                </c:pt>
                <c:pt idx="424">
                  <c:v>651441.88076715905</c:v>
                </c:pt>
                <c:pt idx="425">
                  <c:v>652508.37534748402</c:v>
                </c:pt>
                <c:pt idx="426">
                  <c:v>653574.86992781004</c:v>
                </c:pt>
                <c:pt idx="427">
                  <c:v>654641.36450813501</c:v>
                </c:pt>
                <c:pt idx="428">
                  <c:v>655707.85908846103</c:v>
                </c:pt>
                <c:pt idx="429">
                  <c:v>656774.353668786</c:v>
                </c:pt>
                <c:pt idx="430">
                  <c:v>657840.84824911098</c:v>
                </c:pt>
                <c:pt idx="431">
                  <c:v>658907.342829437</c:v>
                </c:pt>
                <c:pt idx="432">
                  <c:v>659973.83740976197</c:v>
                </c:pt>
                <c:pt idx="433">
                  <c:v>661040.33199008799</c:v>
                </c:pt>
                <c:pt idx="434">
                  <c:v>662106.82657041296</c:v>
                </c:pt>
                <c:pt idx="435">
                  <c:v>663173.32115073898</c:v>
                </c:pt>
                <c:pt idx="436">
                  <c:v>664239.81573106395</c:v>
                </c:pt>
                <c:pt idx="437">
                  <c:v>665306.31031138904</c:v>
                </c:pt>
                <c:pt idx="438">
                  <c:v>666372.80489171494</c:v>
                </c:pt>
                <c:pt idx="439">
                  <c:v>667439.29947204003</c:v>
                </c:pt>
                <c:pt idx="440">
                  <c:v>668505.794052365</c:v>
                </c:pt>
                <c:pt idx="441">
                  <c:v>669572.28863269102</c:v>
                </c:pt>
                <c:pt idx="442">
                  <c:v>670638.78321301599</c:v>
                </c:pt>
                <c:pt idx="443">
                  <c:v>671705.27779334201</c:v>
                </c:pt>
                <c:pt idx="444">
                  <c:v>672771.77237366699</c:v>
                </c:pt>
                <c:pt idx="445">
                  <c:v>673838.26695399301</c:v>
                </c:pt>
                <c:pt idx="446">
                  <c:v>674904.76153431798</c:v>
                </c:pt>
                <c:pt idx="447">
                  <c:v>675971.25611464295</c:v>
                </c:pt>
                <c:pt idx="448">
                  <c:v>677037.75069496897</c:v>
                </c:pt>
                <c:pt idx="449">
                  <c:v>678104.24527529394</c:v>
                </c:pt>
                <c:pt idx="450">
                  <c:v>679170.73985561996</c:v>
                </c:pt>
                <c:pt idx="451">
                  <c:v>680237.23443594505</c:v>
                </c:pt>
                <c:pt idx="452">
                  <c:v>681303.72901627002</c:v>
                </c:pt>
                <c:pt idx="453">
                  <c:v>682370.22359659604</c:v>
                </c:pt>
                <c:pt idx="454">
                  <c:v>683436.71817692101</c:v>
                </c:pt>
                <c:pt idx="455">
                  <c:v>684503.21275724703</c:v>
                </c:pt>
                <c:pt idx="456">
                  <c:v>685569.70733757201</c:v>
                </c:pt>
                <c:pt idx="457">
                  <c:v>686636.20191789698</c:v>
                </c:pt>
                <c:pt idx="458">
                  <c:v>687702.696498223</c:v>
                </c:pt>
                <c:pt idx="459">
                  <c:v>688769.19107854797</c:v>
                </c:pt>
                <c:pt idx="460">
                  <c:v>689835.68565887399</c:v>
                </c:pt>
                <c:pt idx="461">
                  <c:v>690902.18023919896</c:v>
                </c:pt>
                <c:pt idx="462">
                  <c:v>691968.67481952498</c:v>
                </c:pt>
                <c:pt idx="463">
                  <c:v>693035.16939984995</c:v>
                </c:pt>
                <c:pt idx="464">
                  <c:v>694101.66398017504</c:v>
                </c:pt>
                <c:pt idx="465">
                  <c:v>695168.15856050095</c:v>
                </c:pt>
                <c:pt idx="466">
                  <c:v>696234.65314082603</c:v>
                </c:pt>
                <c:pt idx="467">
                  <c:v>697301.14772115101</c:v>
                </c:pt>
                <c:pt idx="468">
                  <c:v>698367.64230147703</c:v>
                </c:pt>
                <c:pt idx="469">
                  <c:v>699434.136881802</c:v>
                </c:pt>
                <c:pt idx="470">
                  <c:v>700500.63146212802</c:v>
                </c:pt>
                <c:pt idx="471">
                  <c:v>701567.12604245299</c:v>
                </c:pt>
                <c:pt idx="472">
                  <c:v>702633.62062277901</c:v>
                </c:pt>
                <c:pt idx="473">
                  <c:v>703700.11520310398</c:v>
                </c:pt>
                <c:pt idx="474">
                  <c:v>704766.60978342895</c:v>
                </c:pt>
                <c:pt idx="475">
                  <c:v>705833.10436375497</c:v>
                </c:pt>
                <c:pt idx="476">
                  <c:v>706899.59894407995</c:v>
                </c:pt>
                <c:pt idx="477">
                  <c:v>707966.09352440597</c:v>
                </c:pt>
                <c:pt idx="478">
                  <c:v>709032.58810473105</c:v>
                </c:pt>
                <c:pt idx="479">
                  <c:v>710099.08268505603</c:v>
                </c:pt>
                <c:pt idx="480">
                  <c:v>711165.57726538205</c:v>
                </c:pt>
                <c:pt idx="481">
                  <c:v>712232.07184570702</c:v>
                </c:pt>
                <c:pt idx="482">
                  <c:v>713298.56642603304</c:v>
                </c:pt>
                <c:pt idx="483">
                  <c:v>714365.06100635801</c:v>
                </c:pt>
                <c:pt idx="484">
                  <c:v>715431.55558668298</c:v>
                </c:pt>
                <c:pt idx="485">
                  <c:v>716498.050167009</c:v>
                </c:pt>
                <c:pt idx="486">
                  <c:v>717564.54474733397</c:v>
                </c:pt>
                <c:pt idx="487">
                  <c:v>718631.03932765999</c:v>
                </c:pt>
                <c:pt idx="488">
                  <c:v>719697.53390798497</c:v>
                </c:pt>
                <c:pt idx="489">
                  <c:v>720764.02848831099</c:v>
                </c:pt>
                <c:pt idx="490">
                  <c:v>721830.52306863596</c:v>
                </c:pt>
                <c:pt idx="491">
                  <c:v>722897.01764896105</c:v>
                </c:pt>
                <c:pt idx="492">
                  <c:v>723963.51222928695</c:v>
                </c:pt>
                <c:pt idx="493">
                  <c:v>725030.00680961204</c:v>
                </c:pt>
                <c:pt idx="494">
                  <c:v>726096.50138993701</c:v>
                </c:pt>
                <c:pt idx="495">
                  <c:v>727162.99597026303</c:v>
                </c:pt>
                <c:pt idx="496">
                  <c:v>728229.490550588</c:v>
                </c:pt>
                <c:pt idx="497">
                  <c:v>729295.98513091402</c:v>
                </c:pt>
                <c:pt idx="498">
                  <c:v>730362.47971123899</c:v>
                </c:pt>
                <c:pt idx="499">
                  <c:v>731428.97429156501</c:v>
                </c:pt>
                <c:pt idx="500">
                  <c:v>732495.46887188999</c:v>
                </c:pt>
                <c:pt idx="501">
                  <c:v>733561.96345221496</c:v>
                </c:pt>
                <c:pt idx="502">
                  <c:v>734628.45803254098</c:v>
                </c:pt>
                <c:pt idx="503">
                  <c:v>735694.95261286595</c:v>
                </c:pt>
              </c:numCache>
            </c:numRef>
          </c:val>
          <c:smooth val="0"/>
          <c:extLst>
            <c:ext xmlns:c16="http://schemas.microsoft.com/office/drawing/2014/chart" uri="{C3380CC4-5D6E-409C-BE32-E72D297353CC}">
              <c16:uniqueId val="{00000004-93E5-4202-B3CF-1A4E0A4A597F}"/>
            </c:ext>
          </c:extLst>
        </c:ser>
        <c:ser>
          <c:idx val="0"/>
          <c:order val="2"/>
          <c:tx>
            <c:strRef>
              <c:f>_ChartData!$D$1</c:f>
              <c:strCache>
                <c:ptCount val="1"/>
                <c:pt idx="0">
                  <c:v>Lower Confidence Bound(Demand)</c:v>
                </c:pt>
              </c:strCache>
            </c:strRef>
          </c:tx>
          <c:spPr>
            <a:ln w="28575" cap="rnd">
              <a:solidFill>
                <a:srgbClr val="F97316"/>
              </a:solidFill>
              <a:prstDash val="solid"/>
              <a:round/>
            </a:ln>
            <a:effectLst/>
          </c:spPr>
          <c:marker>
            <c:symbol val="circle"/>
            <c:size val="5"/>
            <c:spPr>
              <a:solidFill>
                <a:schemeClr val="accent1"/>
              </a:solidFill>
              <a:ln w="9525">
                <a:solidFill>
                  <a:schemeClr val="accent1"/>
                </a:solidFill>
              </a:ln>
              <a:effectLst/>
            </c:spPr>
          </c:marker>
          <c:val>
            <c:numRef>
              <c:f>_ChartData!$D$2:$D$505</c:f>
              <c:numCache>
                <c:formatCode>General</c:formatCode>
                <c:ptCount val="504"/>
                <c:pt idx="402">
                  <c:v>627979</c:v>
                </c:pt>
                <c:pt idx="403">
                  <c:v>613960.89339114295</c:v>
                </c:pt>
                <c:pt idx="404">
                  <c:v>608789.80533177196</c:v>
                </c:pt>
                <c:pt idx="405">
                  <c:v>605059.89426395495</c:v>
                </c:pt>
                <c:pt idx="406">
                  <c:v>602075.76840063697</c:v>
                </c:pt>
                <c:pt idx="407">
                  <c:v>599567.76961898897</c:v>
                </c:pt>
                <c:pt idx="408">
                  <c:v>597397.56695236999</c:v>
                </c:pt>
                <c:pt idx="409">
                  <c:v>595482.990384768</c:v>
                </c:pt>
                <c:pt idx="410">
                  <c:v>593770.51265532896</c:v>
                </c:pt>
                <c:pt idx="411">
                  <c:v>592222.964353277</c:v>
                </c:pt>
                <c:pt idx="412">
                  <c:v>590813.29188065894</c:v>
                </c:pt>
                <c:pt idx="413">
                  <c:v>589521.079621754</c:v>
                </c:pt>
                <c:pt idx="414">
                  <c:v>588330.47301123699</c:v>
                </c:pt>
                <c:pt idx="415">
                  <c:v>587228.86900613399</c:v>
                </c:pt>
                <c:pt idx="416">
                  <c:v>586206.05350692302</c:v>
                </c:pt>
                <c:pt idx="417">
                  <c:v>585253.61234143702</c:v>
                </c:pt>
                <c:pt idx="418">
                  <c:v>584364.51671450096</c:v>
                </c:pt>
                <c:pt idx="419">
                  <c:v>583532.82384489896</c:v>
                </c:pt>
                <c:pt idx="420">
                  <c:v>582753.45593699196</c:v>
                </c:pt>
                <c:pt idx="421">
                  <c:v>582022.03380631702</c:v>
                </c:pt>
                <c:pt idx="422">
                  <c:v>581334.74949988397</c:v>
                </c:pt>
                <c:pt idx="423">
                  <c:v>580688.26729273598</c:v>
                </c:pt>
                <c:pt idx="424">
                  <c:v>580079.64569883398</c:v>
                </c:pt>
                <c:pt idx="425">
                  <c:v>579506.27529014205</c:v>
                </c:pt>
                <c:pt idx="426">
                  <c:v>578965.82857653196</c:v>
                </c:pt>
                <c:pt idx="427">
                  <c:v>578456.21920565295</c:v>
                </c:pt>
                <c:pt idx="428">
                  <c:v>577975.56844883098</c:v>
                </c:pt>
                <c:pt idx="429">
                  <c:v>577522.17744366603</c:v>
                </c:pt>
                <c:pt idx="430">
                  <c:v>577094.50402937795</c:v>
                </c:pt>
                <c:pt idx="431">
                  <c:v>576691.14327924699</c:v>
                </c:pt>
                <c:pt idx="432">
                  <c:v>576310.81103381095</c:v>
                </c:pt>
                <c:pt idx="433">
                  <c:v>575952.32988837396</c:v>
                </c:pt>
                <c:pt idx="434">
                  <c:v>575614.61720216204</c:v>
                </c:pt>
                <c:pt idx="435">
                  <c:v>575296.67478383402</c:v>
                </c:pt>
                <c:pt idx="436">
                  <c:v>574997.57997562399</c:v>
                </c:pt>
                <c:pt idx="437">
                  <c:v>574716.47791117895</c:v>
                </c:pt>
                <c:pt idx="438">
                  <c:v>574452.57476368197</c:v>
                </c:pt>
                <c:pt idx="439">
                  <c:v>574205.13183379301</c:v>
                </c:pt>
                <c:pt idx="440">
                  <c:v>573973.46035321499</c:v>
                </c:pt>
                <c:pt idx="441">
                  <c:v>573756.91690083896</c:v>
                </c:pt>
                <c:pt idx="442">
                  <c:v>573554.89934548805</c:v>
                </c:pt>
                <c:pt idx="443">
                  <c:v>573366.84324321302</c:v>
                </c:pt>
                <c:pt idx="444">
                  <c:v>573192.21862842306</c:v>
                </c:pt>
                <c:pt idx="445">
                  <c:v>573030.52714751498</c:v>
                </c:pt>
                <c:pt idx="446">
                  <c:v>572881.299491385</c:v>
                </c:pt>
                <c:pt idx="447">
                  <c:v>572744.09308960405</c:v>
                </c:pt>
                <c:pt idx="448">
                  <c:v>572618.49003441003</c:v>
                </c:pt>
                <c:pt idx="449">
                  <c:v>572504.09520714602</c:v>
                </c:pt>
                <c:pt idx="450">
                  <c:v>572400.53458354401</c:v>
                </c:pt>
                <c:pt idx="451">
                  <c:v>572307.45369742101</c:v>
                </c:pt>
                <c:pt idx="452">
                  <c:v>572224.51624509494</c:v>
                </c:pt>
                <c:pt idx="453">
                  <c:v>572151.40281505999</c:v>
                </c:pt>
                <c:pt idx="454">
                  <c:v>572087.80972948705</c:v>
                </c:pt>
                <c:pt idx="455">
                  <c:v>572033.44798574003</c:v>
                </c:pt>
                <c:pt idx="456">
                  <c:v>571988.04228756705</c:v>
                </c:pt>
                <c:pt idx="457">
                  <c:v>571951.33015685796</c:v>
                </c:pt>
                <c:pt idx="458">
                  <c:v>571923.06111793802</c:v>
                </c:pt>
                <c:pt idx="459">
                  <c:v>571902.99594728102</c:v>
                </c:pt>
                <c:pt idx="460">
                  <c:v>571890.90598237002</c:v>
                </c:pt>
                <c:pt idx="461">
                  <c:v>571886.57248407695</c:v>
                </c:pt>
                <c:pt idx="462">
                  <c:v>571889.78604761697</c:v>
                </c:pt>
                <c:pt idx="463">
                  <c:v>571900.34605761501</c:v>
                </c:pt>
                <c:pt idx="464">
                  <c:v>571918.06018332206</c:v>
                </c:pt>
                <c:pt idx="465">
                  <c:v>571942.74391042697</c:v>
                </c:pt>
                <c:pt idx="466">
                  <c:v>571974.22010627994</c:v>
                </c:pt>
                <c:pt idx="467">
                  <c:v>572012.31861564703</c:v>
                </c:pt>
                <c:pt idx="468">
                  <c:v>572056.87588444201</c:v>
                </c:pt>
                <c:pt idx="469">
                  <c:v>572107.73460908094</c:v>
                </c:pt>
                <c:pt idx="470">
                  <c:v>572164.74340938195</c:v>
                </c:pt>
                <c:pt idx="471">
                  <c:v>572227.75652309495</c:v>
                </c:pt>
                <c:pt idx="472">
                  <c:v>572296.63352034299</c:v>
                </c:pt>
                <c:pt idx="473">
                  <c:v>572371.23903642595</c:v>
                </c:pt>
                <c:pt idx="474">
                  <c:v>572451.442521538</c:v>
                </c:pt>
                <c:pt idx="475">
                  <c:v>572537.11800613697</c:v>
                </c:pt>
                <c:pt idx="476">
                  <c:v>572628.14388077904</c:v>
                </c:pt>
                <c:pt idx="477">
                  <c:v>572724.40268932795</c:v>
                </c:pt>
                <c:pt idx="478">
                  <c:v>572825.78093458805</c:v>
                </c:pt>
                <c:pt idx="479">
                  <c:v>572932.16889544099</c:v>
                </c:pt>
                <c:pt idx="480">
                  <c:v>573043.46045467397</c:v>
                </c:pt>
                <c:pt idx="481">
                  <c:v>573159.55293674394</c:v>
                </c:pt>
                <c:pt idx="482">
                  <c:v>573280.34695478796</c:v>
                </c:pt>
                <c:pt idx="483">
                  <c:v>573405.74626624398</c:v>
                </c:pt>
                <c:pt idx="484">
                  <c:v>573535.65763649996</c:v>
                </c:pt>
                <c:pt idx="485">
                  <c:v>573669.99071002798</c:v>
                </c:pt>
                <c:pt idx="486">
                  <c:v>573808.65788851003</c:v>
                </c:pt>
                <c:pt idx="487">
                  <c:v>573951.57421550294</c:v>
                </c:pt>
                <c:pt idx="488">
                  <c:v>574098.65726721101</c:v>
                </c:pt>
                <c:pt idx="489">
                  <c:v>574249.82704898203</c:v>
                </c:pt>
                <c:pt idx="490">
                  <c:v>574405.00589716097</c:v>
                </c:pt>
                <c:pt idx="491">
                  <c:v>574564.11838597397</c:v>
                </c:pt>
                <c:pt idx="492">
                  <c:v>574727.09123911895</c:v>
                </c:pt>
                <c:pt idx="493">
                  <c:v>574893.85324578697</c:v>
                </c:pt>
                <c:pt idx="494">
                  <c:v>575064.33518084197</c:v>
                </c:pt>
                <c:pt idx="495">
                  <c:v>575238.46972891199</c:v>
                </c:pt>
                <c:pt idx="496">
                  <c:v>575416.19141215703</c:v>
                </c:pt>
                <c:pt idx="497">
                  <c:v>575597.43652149802</c:v>
                </c:pt>
                <c:pt idx="498">
                  <c:v>575782.14305111603</c:v>
                </c:pt>
                <c:pt idx="499">
                  <c:v>575970.25063602196</c:v>
                </c:pt>
                <c:pt idx="500">
                  <c:v>576161.70049253094</c:v>
                </c:pt>
                <c:pt idx="501">
                  <c:v>576356.43536147103</c:v>
                </c:pt>
                <c:pt idx="502">
                  <c:v>576554.39945398399</c:v>
                </c:pt>
                <c:pt idx="503">
                  <c:v>576755.53839976795</c:v>
                </c:pt>
              </c:numCache>
            </c:numRef>
          </c:val>
          <c:smooth val="0"/>
          <c:extLst>
            <c:ext xmlns:c16="http://schemas.microsoft.com/office/drawing/2014/chart" uri="{C3380CC4-5D6E-409C-BE32-E72D297353CC}">
              <c16:uniqueId val="{00000005-93E5-4202-B3CF-1A4E0A4A597F}"/>
            </c:ext>
          </c:extLst>
        </c:ser>
        <c:ser>
          <c:idx val="1"/>
          <c:order val="3"/>
          <c:tx>
            <c:strRef>
              <c:f>_ChartData!$E$1</c:f>
              <c:strCache>
                <c:ptCount val="1"/>
                <c:pt idx="0">
                  <c:v>Upper Confidence Bound(Demand)</c:v>
                </c:pt>
              </c:strCache>
            </c:strRef>
          </c:tx>
          <c:spPr>
            <a:ln w="28575" cap="rnd">
              <a:solidFill>
                <a:srgbClr val="F97316"/>
              </a:solidFill>
              <a:prstDash val="solid"/>
              <a:round/>
            </a:ln>
            <a:effectLst/>
          </c:spPr>
          <c:marker>
            <c:symbol val="none"/>
          </c:marker>
          <c:val>
            <c:numRef>
              <c:f>_ChartData!$E$2:$E$505</c:f>
              <c:numCache>
                <c:formatCode>General</c:formatCode>
                <c:ptCount val="504"/>
                <c:pt idx="402">
                  <c:v>627979</c:v>
                </c:pt>
                <c:pt idx="403">
                  <c:v>644130.09576950804</c:v>
                </c:pt>
                <c:pt idx="404">
                  <c:v>651434.17298952898</c:v>
                </c:pt>
                <c:pt idx="405">
                  <c:v>657297.07321799803</c:v>
                </c:pt>
                <c:pt idx="406">
                  <c:v>662414.18824196595</c:v>
                </c:pt>
                <c:pt idx="407">
                  <c:v>667055.17618426494</c:v>
                </c:pt>
                <c:pt idx="408">
                  <c:v>671358.36801153503</c:v>
                </c:pt>
                <c:pt idx="409">
                  <c:v>675405.93373978802</c:v>
                </c:pt>
                <c:pt idx="410">
                  <c:v>679251.400629877</c:v>
                </c:pt>
                <c:pt idx="411">
                  <c:v>682931.93809257995</c:v>
                </c:pt>
                <c:pt idx="412">
                  <c:v>686474.599725849</c:v>
                </c:pt>
                <c:pt idx="413">
                  <c:v>689899.80114540504</c:v>
                </c:pt>
                <c:pt idx="414">
                  <c:v>693223.39691657305</c:v>
                </c:pt>
                <c:pt idx="415">
                  <c:v>696457.990082326</c:v>
                </c:pt>
                <c:pt idx="416">
                  <c:v>699613.79474218795</c:v>
                </c:pt>
                <c:pt idx="417">
                  <c:v>702699.22506832494</c:v>
                </c:pt>
                <c:pt idx="418">
                  <c:v>705721.309855912</c:v>
                </c:pt>
                <c:pt idx="419">
                  <c:v>708685.99188616499</c:v>
                </c:pt>
                <c:pt idx="420">
                  <c:v>711598.34895472298</c:v>
                </c:pt>
                <c:pt idx="421">
                  <c:v>714462.76024604798</c:v>
                </c:pt>
                <c:pt idx="422">
                  <c:v>717283.03371313296</c:v>
                </c:pt>
                <c:pt idx="423">
                  <c:v>720062.50508093205</c:v>
                </c:pt>
                <c:pt idx="424">
                  <c:v>722804.115835484</c:v>
                </c:pt>
                <c:pt idx="425">
                  <c:v>725510.47540482704</c:v>
                </c:pt>
                <c:pt idx="426">
                  <c:v>728183.91127908695</c:v>
                </c:pt>
                <c:pt idx="427">
                  <c:v>730826.50981061801</c:v>
                </c:pt>
                <c:pt idx="428">
                  <c:v>733440.14972809004</c:v>
                </c:pt>
                <c:pt idx="429">
                  <c:v>736026.52989390597</c:v>
                </c:pt>
                <c:pt idx="430">
                  <c:v>738587.19246884505</c:v>
                </c:pt>
                <c:pt idx="431">
                  <c:v>741123.542379627</c:v>
                </c:pt>
                <c:pt idx="432">
                  <c:v>743636.86378571298</c:v>
                </c:pt>
                <c:pt idx="433">
                  <c:v>746128.33409180096</c:v>
                </c:pt>
                <c:pt idx="434">
                  <c:v>748599.03593866399</c:v>
                </c:pt>
                <c:pt idx="435">
                  <c:v>751049.967517643</c:v>
                </c:pt>
                <c:pt idx="436">
                  <c:v>753482.05148650298</c:v>
                </c:pt>
                <c:pt idx="437">
                  <c:v>755896.14271159901</c:v>
                </c:pt>
                <c:pt idx="438">
                  <c:v>758293.03501974698</c:v>
                </c:pt>
                <c:pt idx="439">
                  <c:v>760673.46711028705</c:v>
                </c:pt>
                <c:pt idx="440">
                  <c:v>763038.12775151595</c:v>
                </c:pt>
                <c:pt idx="441">
                  <c:v>765387.66036454297</c:v>
                </c:pt>
                <c:pt idx="442">
                  <c:v>767722.66708054405</c:v>
                </c:pt>
                <c:pt idx="443">
                  <c:v>770043.71234346996</c:v>
                </c:pt>
                <c:pt idx="444">
                  <c:v>772351.32611891197</c:v>
                </c:pt>
                <c:pt idx="445">
                  <c:v>774646.00676046999</c:v>
                </c:pt>
                <c:pt idx="446">
                  <c:v>776928.22357725096</c:v>
                </c:pt>
                <c:pt idx="447">
                  <c:v>779198.41913968197</c:v>
                </c:pt>
                <c:pt idx="448">
                  <c:v>781457.01135552803</c:v>
                </c:pt>
                <c:pt idx="449">
                  <c:v>783704.39534344198</c:v>
                </c:pt>
                <c:pt idx="450">
                  <c:v>785940.94512769603</c:v>
                </c:pt>
                <c:pt idx="451">
                  <c:v>788167.01517446898</c:v>
                </c:pt>
                <c:pt idx="452">
                  <c:v>790382.94178744603</c:v>
                </c:pt>
                <c:pt idx="453">
                  <c:v>792589.04437813198</c:v>
                </c:pt>
                <c:pt idx="454">
                  <c:v>794785.62662435498</c:v>
                </c:pt>
                <c:pt idx="455">
                  <c:v>796972.97752875299</c:v>
                </c:pt>
                <c:pt idx="456">
                  <c:v>799151.37238757696</c:v>
                </c:pt>
                <c:pt idx="457">
                  <c:v>801321.07367893704</c:v>
                </c:pt>
                <c:pt idx="458">
                  <c:v>803482.33187850798</c:v>
                </c:pt>
                <c:pt idx="459">
                  <c:v>805635.38620981504</c:v>
                </c:pt>
                <c:pt idx="460">
                  <c:v>807780.46533537703</c:v>
                </c:pt>
                <c:pt idx="461">
                  <c:v>809917.78799432202</c:v>
                </c:pt>
                <c:pt idx="462">
                  <c:v>812047.56359143194</c:v>
                </c:pt>
                <c:pt idx="463">
                  <c:v>814169.99274208501</c:v>
                </c:pt>
                <c:pt idx="464">
                  <c:v>816285.26777702896</c:v>
                </c:pt>
                <c:pt idx="465">
                  <c:v>818393.57321057399</c:v>
                </c:pt>
                <c:pt idx="466">
                  <c:v>820495.08617537201</c:v>
                </c:pt>
                <c:pt idx="467">
                  <c:v>822589.97682665603</c:v>
                </c:pt>
                <c:pt idx="468">
                  <c:v>824678.40871851204</c:v>
                </c:pt>
                <c:pt idx="469">
                  <c:v>826760.53915452305</c:v>
                </c:pt>
                <c:pt idx="470">
                  <c:v>828836.51951487304</c:v>
                </c:pt>
                <c:pt idx="471">
                  <c:v>830906.49556181196</c:v>
                </c:pt>
                <c:pt idx="472">
                  <c:v>832970.60772521398</c:v>
                </c:pt>
                <c:pt idx="473">
                  <c:v>835028.99136978202</c:v>
                </c:pt>
                <c:pt idx="474">
                  <c:v>837081.77704532095</c:v>
                </c:pt>
                <c:pt idx="475">
                  <c:v>839129.09072137205</c:v>
                </c:pt>
                <c:pt idx="476">
                  <c:v>841171.05400738097</c:v>
                </c:pt>
                <c:pt idx="477">
                  <c:v>843207.78435948305</c:v>
                </c:pt>
                <c:pt idx="478">
                  <c:v>845239.39527487406</c:v>
                </c:pt>
                <c:pt idx="479">
                  <c:v>847265.99647467094</c:v>
                </c:pt>
                <c:pt idx="480">
                  <c:v>849287.69407608896</c:v>
                </c:pt>
                <c:pt idx="481">
                  <c:v>851304.59075466997</c:v>
                </c:pt>
                <c:pt idx="482">
                  <c:v>853316.78589727799</c:v>
                </c:pt>
                <c:pt idx="483">
                  <c:v>855324.37574647204</c:v>
                </c:pt>
                <c:pt idx="484">
                  <c:v>857327.45353686705</c:v>
                </c:pt>
                <c:pt idx="485">
                  <c:v>859326.10962399002</c:v>
                </c:pt>
                <c:pt idx="486">
                  <c:v>861320.43160615803</c:v>
                </c:pt>
                <c:pt idx="487">
                  <c:v>863310.504439816</c:v>
                </c:pt>
                <c:pt idx="488">
                  <c:v>865296.41054875904</c:v>
                </c:pt>
                <c:pt idx="489">
                  <c:v>867278.22992763901</c:v>
                </c:pt>
                <c:pt idx="490">
                  <c:v>869256.04024011095</c:v>
                </c:pt>
                <c:pt idx="491">
                  <c:v>871229.91691194801</c:v>
                </c:pt>
                <c:pt idx="492">
                  <c:v>873199.93321945495</c:v>
                </c:pt>
                <c:pt idx="493">
                  <c:v>875166.16037343803</c:v>
                </c:pt>
                <c:pt idx="494">
                  <c:v>877128.66759903298</c:v>
                </c:pt>
                <c:pt idx="495">
                  <c:v>879087.52221161302</c:v>
                </c:pt>
                <c:pt idx="496">
                  <c:v>881042.78968902002</c:v>
                </c:pt>
                <c:pt idx="497">
                  <c:v>882994.53374033002</c:v>
                </c:pt>
                <c:pt idx="498">
                  <c:v>884942.81637136301</c:v>
                </c:pt>
                <c:pt idx="499">
                  <c:v>886887.69794710702</c:v>
                </c:pt>
                <c:pt idx="500">
                  <c:v>888829.23725124903</c:v>
                </c:pt>
                <c:pt idx="501">
                  <c:v>890767.49154296005</c:v>
                </c:pt>
                <c:pt idx="502">
                  <c:v>892702.51661109703</c:v>
                </c:pt>
                <c:pt idx="503">
                  <c:v>894634.36682596395</c:v>
                </c:pt>
              </c:numCache>
            </c:numRef>
          </c:val>
          <c:smooth val="0"/>
          <c:extLst>
            <c:ext xmlns:c16="http://schemas.microsoft.com/office/drawing/2014/chart" uri="{C3380CC4-5D6E-409C-BE32-E72D297353CC}">
              <c16:uniqueId val="{00000006-93E5-4202-B3CF-1A4E0A4A597F}"/>
            </c:ext>
          </c:extLst>
        </c:ser>
        <c:dLbls>
          <c:showLegendKey val="0"/>
          <c:showVal val="0"/>
          <c:showCatName val="0"/>
          <c:showSerName val="0"/>
          <c:showPercent val="0"/>
          <c:showBubbleSize val="0"/>
        </c:dLbls>
        <c:smooth val="0"/>
        <c:axId val="796441984"/>
        <c:axId val="796439104"/>
      </c:lineChart>
      <c:catAx>
        <c:axId val="796441984"/>
        <c:scaling>
          <c:orientation val="minMax"/>
        </c:scaling>
        <c:delete val="0"/>
        <c:axPos val="b"/>
        <c:numFmt formatCode="yyyy" sourceLinked="0"/>
        <c:majorTickMark val="none"/>
        <c:minorTickMark val="none"/>
        <c:tickLblPos val="nextTo"/>
        <c:spPr>
          <a:noFill/>
          <a:ln w="9525" cap="flat" cmpd="sng" algn="ctr">
            <a:solidFill>
              <a:srgbClr val="CBD5E0"/>
            </a:solidFill>
            <a:prstDash val="solid"/>
            <a:round/>
          </a:ln>
          <a:effectLst/>
        </c:spPr>
        <c:txPr>
          <a:bodyPr rot="-60000000" spcFirstLastPara="1" vertOverflow="ellipsis" vert="horz" wrap="square" anchor="ctr" anchorCtr="1"/>
          <a:lstStyle/>
          <a:p>
            <a:pPr>
              <a:defRPr sz="700" b="0" i="0" u="none" strike="noStrike" kern="1200" baseline="0">
                <a:solidFill>
                  <a:srgbClr val="4A5568"/>
                </a:solidFill>
                <a:latin typeface="+mn-lt"/>
                <a:ea typeface="+mn-ea"/>
                <a:cs typeface="+mn-cs"/>
              </a:defRPr>
            </a:pPr>
            <a:endParaRPr lang="en-US"/>
          </a:p>
        </c:txPr>
        <c:crossAx val="796439104"/>
        <c:crosses val="autoZero"/>
        <c:auto val="1"/>
        <c:lblAlgn val="ctr"/>
        <c:lblOffset val="100"/>
        <c:noMultiLvlLbl val="0"/>
      </c:catAx>
      <c:valAx>
        <c:axId val="796439104"/>
        <c:scaling>
          <c:orientation val="minMax"/>
        </c:scaling>
        <c:delete val="0"/>
        <c:axPos val="l"/>
        <c:majorGridlines>
          <c:spPr>
            <a:ln w="9525" cap="flat" cmpd="sng" algn="ctr">
              <a:solidFill>
                <a:srgbClr val="E8ECF1"/>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4A5568"/>
                </a:solidFill>
                <a:latin typeface="+mn-lt"/>
                <a:ea typeface="+mn-ea"/>
                <a:cs typeface="+mn-cs"/>
              </a:defRPr>
            </a:pPr>
            <a:endParaRPr lang="en-US"/>
          </a:p>
        </c:txPr>
        <c:crossAx val="796441984"/>
        <c:crosses val="autoZero"/>
        <c:crossBetween val="between"/>
      </c:valAx>
      <c:spPr>
        <a:solidFill>
          <a:srgbClr val="FAFBFD"/>
        </a:solidFill>
        <a:ln w="25400">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4A556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BD5E0"/>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17</xdr:col>
      <xdr:colOff>261938</xdr:colOff>
      <xdr:row>11</xdr:row>
      <xdr:rowOff>79376</xdr:rowOff>
    </xdr:from>
    <xdr:ext cx="3254375" cy="264560"/>
    <xdr:sp macro="" textlink="">
      <xdr:nvSpPr>
        <xdr:cNvPr id="4" name="TextBox 3">
          <a:extLst>
            <a:ext uri="{FF2B5EF4-FFF2-40B4-BE49-F238E27FC236}">
              <a16:creationId xmlns:a16="http://schemas.microsoft.com/office/drawing/2014/main" id="{22FCFBAE-1813-8F5F-4EB0-24003937BDDB}"/>
            </a:ext>
          </a:extLst>
        </xdr:cNvPr>
        <xdr:cNvSpPr txBox="1"/>
      </xdr:nvSpPr>
      <xdr:spPr>
        <a:xfrm>
          <a:off x="20597813" y="2270126"/>
          <a:ext cx="3254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7</xdr:col>
      <xdr:colOff>229620</xdr:colOff>
      <xdr:row>7</xdr:row>
      <xdr:rowOff>144575</xdr:rowOff>
    </xdr:from>
    <xdr:to>
      <xdr:col>18</xdr:col>
      <xdr:colOff>1250156</xdr:colOff>
      <xdr:row>17</xdr:row>
      <xdr:rowOff>163285</xdr:rowOff>
    </xdr:to>
    <xdr:graphicFrame macro="">
      <xdr:nvGraphicFramePr>
        <xdr:cNvPr id="7" name="Chart 6">
          <a:extLst>
            <a:ext uri="{FF2B5EF4-FFF2-40B4-BE49-F238E27FC236}">
              <a16:creationId xmlns:a16="http://schemas.microsoft.com/office/drawing/2014/main" id="{500DF9FA-E83D-E7CB-EEE1-5B77D5ED5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ck Joseph Andersen" id="{8236E833-DFF9-4D1A-9749-5921BC141BBE}" userId="S::ande1541@purdue.edu::40ab0776-a872-4549-953a-3cc29eba31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DC0B2-2B2E-43E7-A717-4E392388011C}" name="Table1" displayName="Table1" ref="A2:E506" totalsRowShown="0" headerRowDxfId="8" dataDxfId="7" headerRowBorderDxfId="5" tableBorderDxfId="6">
  <autoFilter ref="A2:E506" xr:uid="{B27DC0B2-2B2E-43E7-A717-4E392388011C}"/>
  <tableColumns count="5">
    <tableColumn id="1" xr3:uid="{D17896E9-43EB-49B3-AC77-95DF9C117E46}" name="Date" dataDxfId="4"/>
    <tableColumn id="2" xr3:uid="{974D462E-B79D-417D-9147-27142968EF40}" name="Demand" dataDxfId="3"/>
    <tableColumn id="3" xr3:uid="{0C768B07-3458-4897-9C4D-222043DF7BDA}" name="Forecast(Demand)" dataDxfId="2">
      <calculatedColumnFormula>_xlfn.FORECAST.ETS(A3,$B$3:$B$405,$A$3:$A$405,1,1)</calculatedColumnFormula>
    </tableColumn>
    <tableColumn id="4" xr3:uid="{8FCE292C-87D6-401C-B482-CD26AC9AE0F3}" name="Lower Confidence Bound(Demand)" dataDxfId="1">
      <calculatedColumnFormula>C3-_xlfn.FORECAST.ETS.CONFINT(A3,$B$3:$B$405,$A$3:$A$405,0.95,1,1)</calculatedColumnFormula>
    </tableColumn>
    <tableColumn id="5" xr3:uid="{8EA4CE15-4B7F-4B4F-92BF-EB7C7995BAF7}" name="Upper Confidence Bound(Demand)" dataDxfId="0">
      <calculatedColumnFormula>C3+_xlfn.FORECAST.ETS.CONFINT(A3,$B$3:$B$405,$A$3:$A$405,0.95,1,1)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2" dT="2026-04-15T13:08:44.38" personId="{8236E833-DFF9-4D1A-9749-5921BC141BBE}" id="{55AA37C4-6A4E-4199-A1FC-0C4AC5297947}">
    <text xml:space="preserve">When you flip from Low to High, required capacity jumps, utilization climbs, and the recommendation can shift. Stress testing the model against different market conditions to see how subcontractor capacity situation changes. </text>
  </threadedComment>
  <threadedComment ref="I3" dT="2026-04-15T13:08:56.20" personId="{8236E833-DFF9-4D1A-9749-5921BC141BBE}" id="{35F0BF05-E4F2-4772-8D74-6D739E4C5A77}">
    <text>assumes the market comes in 10% below the historical average. Maybe the economy slows, interest rates stay high, developers pull back on projects. Subs like Circle B will see less business come thru which is why they are willing to take on a lower util %</text>
  </threadedComment>
  <threadedComment ref="L3" dT="2026-04-17T17:21:38.69" personId="{8236E833-DFF9-4D1A-9749-5921BC141BBE}" id="{F3E1045E-EFB6-44CF-986C-FB48ED472298}">
    <text xml:space="preserve">If the market comes in soft you naturally win fewer bids, less work flows through, utilization drops to 75% and you should be bidding aggressively to fill capacity, tighter margins because you want your bids to be selected. </text>
  </threadedComment>
  <threadedComment ref="S4" dT="2026-04-15T13:00:43.48" personId="{8236E833-DFF9-4D1A-9749-5921BC141BBE}" id="{1B46B3FF-6E13-40E7-B624-C14CB0884D1C}">
    <text xml:space="preserve">How many labor hours the projected demand actually needs from Circle B under the High scenario. </text>
  </threadedComment>
  <threadedComment ref="F5" dT="2026-04-17T17:11:48.52" personId="{8236E833-DFF9-4D1A-9749-5921BC141BBE}" id="{5FF2AD9E-D14D-4046-A152-6D8398F9EFFE}">
    <text>Hard coded assumption</text>
  </threadedComment>
  <threadedComment ref="I5" dT="2026-04-15T13:09:06.17" personId="{8236E833-DFF9-4D1A-9749-5921BC141BBE}" id="{564A2CC4-1A1D-43E7-84F6-651255AE8004}">
    <text>assumes demand runs 10% above average. Market is booming, lots of projects breaking ground, Subs like Circle B is seeing more opportunities come through but we should be selective with our bidding because we are over the 85% threshold</text>
  </threadedComment>
  <threadedComment ref="L5" dT="2026-04-17T17:19:56.09" personId="{8236E833-DFF9-4D1A-9749-5921BC141BBE}" id="{F4CA175E-76E0-467A-80D1-C22A950C3097}">
    <text xml:space="preserve">When demand is higher, more projects are out there, which means more of your bids get accepted and more work flows in. Your required capacity climbs because you're suddenly executing more projects than the base case assumed, but your total available labor hours stay fixed at 20,000. So the gap closes fast and you blow past 85%. Probably willing to make bids of higher margin depending on what backlog looks like </text>
  </threadedComment>
  <threadedComment ref="P5" dT="2026-04-17T17:27:16.23" personId="{8236E833-DFF9-4D1A-9749-5921BC141BBE}" id="{F654F72F-1377-47E5-85EF-5125AE9BDD39}">
    <text xml:space="preserve">Model calculates utilization using total theoretical labor capacity which is 20000 hours. But that assumes you can actually fill every one of those hours with qualified workers. In reality, given the labor shortage in Indianapolis right now, subs probably can't fully staff to their theoretical ceiling. Some of those 20,000 hours exist on paper but not in practice because the workers aren't available. </text>
  </threadedComment>
  <threadedComment ref="P5" dT="2026-04-17T17:31:29.26" personId="{8236E833-DFF9-4D1A-9749-5921BC141BBE}" id="{C866B0AF-6E69-43DC-A4BF-64D221BBF371}" parentId="{F654F72F-1377-47E5-85EF-5125AE9BDD39}">
    <text xml:space="preserve">If the actual realistic staffable capacity is 18000 then the real utilization isnt 92% its higher. True util is the gap between what you can theoretically staff and what you can put in the field given labor conditions. </text>
  </threadedComment>
  <threadedComment ref="S5" dT="2026-04-15T13:01:01.44" personId="{8236E833-DFF9-4D1A-9749-5921BC141BBE}" id="{A70B2890-7808-426F-B9B8-FDF9FF72DCE0}">
    <text xml:space="preserve">The theoretical ceiling. The total hours the sub can put in the field. </text>
  </threadedComment>
  <threadedComment ref="F6" dT="2026-04-17T17:12:02.55" personId="{8236E833-DFF9-4D1A-9749-5921BC141BBE}" id="{2AA47EFA-7C24-4EDA-AA43-ED31A529F249}">
    <text>Hard coded assumption some of these hours exist on paper but not in reality bc...</text>
  </threadedComment>
  <threadedComment ref="F6" dT="2026-04-18T00:09:16.95" personId="{8236E833-DFF9-4D1A-9749-5921BC141BBE}" id="{DF71230A-5745-4020-A33A-291645E00D68}" parentId="{2AA47EFA-7C24-4EDA-AA43-ED31A529F249}">
    <text xml:space="preserve">THEORETICAL capacity assuming we can fully staff to that level who knows what we can actually do with Morris Arena, IU Health, and overall national labor shortage adding on to that. </text>
  </threadedComment>
  <threadedComment ref="S6" dT="2026-04-15T13:00:17.04" personId="{8236E833-DFF9-4D1A-9749-5921BC141BBE}" id="{588D28DF-355C-4B17-ADDC-E9C579036332}">
    <text xml:space="preserve">−1,553 hours The buffer between what's needed and what's available. Negative means excess on paper but thin in reality given the 92% utilization. </text>
  </threadedComment>
  <threadedComment ref="S6" dT="2026-04-18T00:07:06.66" personId="{8236E833-DFF9-4D1A-9749-5921BC141BBE}" id="{BB7795C6-C547-442F-8A20-4C821F6671E8}" parentId="{588D28DF-355C-4B17-ADDC-E9C579036332}">
    <text>We have 1553 hours of breathing room before we can’t take on another project but in the mean time who knows what will happen</text>
  </threadedComment>
  <threadedComment ref="F8" dT="2026-04-15T13:10:28.14" personId="{8236E833-DFF9-4D1A-9749-5921BC141BBE}" id="{A5C2EBB3-7AD2-49AC-9130-239273357B9D}">
    <text>Required Capacity/Total Capacity</text>
  </threadedComment>
  <threadedComment ref="F9" dT="2026-04-17T17:12:36.24" personId="{8236E833-DFF9-4D1A-9749-5921BC141BBE}" id="{88C29BCD-4CE5-48E0-B87E-15EA763A6525}">
    <text>Assumed target utilization threshold</text>
  </threadedComment>
  <threadedComment ref="F9" dT="2026-04-24T02:23:29.23" personId="{8236E833-DFF9-4D1A-9749-5921BC141BBE}" id="{3F04BD27-6F08-4125-9B45-261596F9B1E7}" parentId="{88C29BCD-4CE5-48E0-B87E-15EA763A6525}">
    <text>Real model probably uses more then just one criteria 85%</text>
  </threadedComment>
  <threadedComment ref="F9" dT="2026-04-24T02:23:58.30" personId="{8236E833-DFF9-4D1A-9749-5921BC141BBE}" id="{8AFA0CC1-E044-4824-AF64-5366EBFB6AD7}" parentId="{88C29BCD-4CE5-48E0-B87E-15EA763A6525}">
    <text xml:space="preserve">More important gc relationships or what the market is telling u </text>
  </threadedComment>
  <threadedComment ref="H9" dT="2026-04-23T11:34:31.80" personId="{8236E833-DFF9-4D1A-9749-5921BC141BBE}" id="{F77EE5DD-282C-4BA8-9DF6-0F9C7A931F07}">
    <text xml:space="preserve">A more complete model would incorporate labor rate escalation assumptions that move with the demand forecast. When the High scenario fires and utilization goes above 85%, labor rates are probably also rising, which means the true cost exposure is worse than the utilization number alone suggests. </text>
  </threadedComment>
  <threadedComment ref="F11" dT="2026-04-15T13:10:09.34" personId="{8236E833-DFF9-4D1A-9749-5921BC141BBE}" id="{FB07EDA2-0A84-4128-AA93-9345E2B05841}">
    <text>Positive = Need More Labor
Negative = Excess capacity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2FD517-282E-4BE8-B6D2-C319DB66104F}">
  <we:reference id="WA200009404" version="1.0.0.8" store="Omex" storeType="OMEX"/>
  <we:alternateReferences>
    <we:reference id="WA200009404" version="1.0.0.8" store="WA200009404" storeType="OMEX"/>
  </we:alternateReferences>
  <we:properties>
    <we:property name="claude.fileId" value="&quot;4a4dc0e3-fc4e-4957-9e49-86557cf55c6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07B2A"/>
  </sheetPr>
  <dimension ref="A1:S509"/>
  <sheetViews>
    <sheetView showGridLines="0" tabSelected="1" topLeftCell="F1" zoomScale="79" zoomScaleNormal="79" workbookViewId="0">
      <selection activeCell="K7" sqref="K7"/>
    </sheetView>
  </sheetViews>
  <sheetFormatPr defaultColWidth="8.5703125" defaultRowHeight="14.25"/>
  <cols>
    <col min="1" max="1" width="12" hidden="1" customWidth="1"/>
    <col min="2" max="2" width="29.7109375" hidden="1" customWidth="1"/>
    <col min="3" max="5" width="14.140625" hidden="1" customWidth="1"/>
    <col min="6" max="6" width="24.85546875" customWidth="1" collapsed="1"/>
    <col min="7" max="8" width="17.85546875" customWidth="1"/>
    <col min="9" max="10" width="7.42578125" customWidth="1"/>
    <col min="11" max="11" width="10" customWidth="1"/>
    <col min="12" max="12" width="11" style="1" customWidth="1"/>
    <col min="13" max="13" width="1.42578125" customWidth="1"/>
    <col min="14" max="14" width="24.85546875" customWidth="1"/>
    <col min="15" max="15" width="1.42578125" customWidth="1"/>
    <col min="16" max="16" width="11" customWidth="1"/>
    <col min="17" max="17" width="1.42578125" customWidth="1"/>
    <col min="18" max="18" width="19.5703125" customWidth="1"/>
    <col min="19" max="19" width="17.85546875" customWidth="1"/>
  </cols>
  <sheetData>
    <row r="1" spans="1:19" ht="40.15" customHeight="1" thickBot="1">
      <c r="A1" s="68" t="s">
        <v>0</v>
      </c>
      <c r="B1" s="69"/>
      <c r="C1" s="69"/>
      <c r="D1" s="69"/>
      <c r="E1" s="69"/>
      <c r="F1" s="69"/>
      <c r="G1" s="69"/>
      <c r="H1" s="69"/>
      <c r="I1" s="69"/>
      <c r="J1" s="69"/>
      <c r="K1" s="69"/>
      <c r="L1" s="69"/>
      <c r="M1" s="69"/>
      <c r="N1" s="69"/>
      <c r="O1" s="69"/>
      <c r="P1" s="69"/>
      <c r="Q1" s="69"/>
      <c r="R1" s="69"/>
      <c r="S1" s="69"/>
    </row>
    <row r="2" spans="1:19" ht="26.1" customHeight="1" thickTop="1">
      <c r="A2" s="17" t="s">
        <v>1</v>
      </c>
      <c r="B2" s="17" t="s">
        <v>2</v>
      </c>
      <c r="C2" s="17" t="s">
        <v>3</v>
      </c>
      <c r="D2" s="17" t="s">
        <v>4</v>
      </c>
      <c r="E2" s="18" t="s">
        <v>5</v>
      </c>
      <c r="F2" s="49" t="s">
        <v>6</v>
      </c>
      <c r="G2" s="50" t="s">
        <v>7</v>
      </c>
      <c r="H2" s="39" t="s">
        <v>8</v>
      </c>
      <c r="I2" s="19"/>
      <c r="J2" s="19"/>
      <c r="K2" s="19" t="s">
        <v>9</v>
      </c>
      <c r="L2" s="40" t="s">
        <v>10</v>
      </c>
      <c r="M2" s="45"/>
      <c r="N2" s="65" t="s">
        <v>11</v>
      </c>
      <c r="O2" s="66"/>
      <c r="P2" s="67"/>
      <c r="Q2" s="45"/>
      <c r="R2" s="65" t="s">
        <v>12</v>
      </c>
      <c r="S2" s="66"/>
    </row>
    <row r="3" spans="1:19" ht="22.15" customHeight="1">
      <c r="A3" s="2">
        <v>33604</v>
      </c>
      <c r="B3" s="3">
        <v>142419</v>
      </c>
      <c r="C3" s="3"/>
      <c r="D3" s="3"/>
      <c r="E3" s="3"/>
      <c r="F3" s="51" t="s">
        <v>13</v>
      </c>
      <c r="G3" s="52">
        <f>AVERAGE(Dashboard!$B$3:$B$506)</f>
        <v>335398.11662531015</v>
      </c>
      <c r="H3" s="23" t="s">
        <v>14</v>
      </c>
      <c r="I3" s="16" t="s">
        <v>15</v>
      </c>
      <c r="J3" s="16">
        <v>0.9</v>
      </c>
      <c r="K3" s="16" t="s">
        <v>15</v>
      </c>
      <c r="L3" s="26">
        <f>($G$3*J3/10000)*$G$5/$G$6</f>
        <v>0.75464576240694792</v>
      </c>
      <c r="M3" s="45"/>
      <c r="N3" s="30" t="s">
        <v>16</v>
      </c>
      <c r="O3" s="15"/>
      <c r="P3" s="33">
        <v>10000</v>
      </c>
      <c r="Q3" s="45"/>
      <c r="R3" s="36" t="s">
        <v>17</v>
      </c>
      <c r="S3" s="41">
        <f>G8</f>
        <v>0.922344820719603</v>
      </c>
    </row>
    <row r="4" spans="1:19" ht="22.15" customHeight="1">
      <c r="A4" s="4">
        <v>33635</v>
      </c>
      <c r="B4" s="5">
        <v>142584</v>
      </c>
      <c r="C4" s="5"/>
      <c r="D4" s="5"/>
      <c r="E4" s="5"/>
      <c r="F4" s="53" t="s">
        <v>18</v>
      </c>
      <c r="G4" s="54">
        <f>G3/$P$3</f>
        <v>33.539811662531015</v>
      </c>
      <c r="H4" s="24">
        <f>_xlfn.XLOOKUP(H3, I3:I5, J3:J5)</f>
        <v>1.1000000000000001</v>
      </c>
      <c r="I4" s="13" t="s">
        <v>19</v>
      </c>
      <c r="J4" s="13">
        <v>1</v>
      </c>
      <c r="K4" s="13" t="s">
        <v>19</v>
      </c>
      <c r="L4" s="27">
        <f>($G$3*J4/10000)*$G$5/$G$6</f>
        <v>0.8384952915632754</v>
      </c>
      <c r="M4" s="45"/>
      <c r="N4" s="31" t="s">
        <v>20</v>
      </c>
      <c r="O4" s="14"/>
      <c r="P4" s="34">
        <v>500</v>
      </c>
      <c r="Q4" s="45"/>
      <c r="R4" s="37" t="s">
        <v>21</v>
      </c>
      <c r="S4" s="42">
        <f>G7</f>
        <v>18446.89641439206</v>
      </c>
    </row>
    <row r="5" spans="1:19" ht="22.15" customHeight="1" thickBot="1">
      <c r="A5" s="2">
        <v>33664</v>
      </c>
      <c r="B5" s="3">
        <v>142120</v>
      </c>
      <c r="C5" s="3"/>
      <c r="D5" s="3"/>
      <c r="E5" s="3"/>
      <c r="F5" s="53" t="s">
        <v>20</v>
      </c>
      <c r="G5" s="55">
        <v>500</v>
      </c>
      <c r="H5" s="62"/>
      <c r="I5" s="25" t="s">
        <v>14</v>
      </c>
      <c r="J5" s="25">
        <v>1.1000000000000001</v>
      </c>
      <c r="K5" s="25" t="s">
        <v>14</v>
      </c>
      <c r="L5" s="28">
        <f>($G$3*J5/10000)*$G$5/$G$6</f>
        <v>0.922344820719603</v>
      </c>
      <c r="M5" s="45"/>
      <c r="N5" s="31" t="s">
        <v>22</v>
      </c>
      <c r="O5" s="14"/>
      <c r="P5" s="34">
        <v>20000</v>
      </c>
      <c r="Q5" s="45"/>
      <c r="R5" s="37" t="s">
        <v>23</v>
      </c>
      <c r="S5" s="42">
        <f>G6</f>
        <v>20000</v>
      </c>
    </row>
    <row r="6" spans="1:19" ht="22.15" customHeight="1" thickBot="1">
      <c r="A6" s="4">
        <v>33695</v>
      </c>
      <c r="B6" s="5">
        <v>143659</v>
      </c>
      <c r="C6" s="5"/>
      <c r="D6" s="5"/>
      <c r="E6" s="5"/>
      <c r="F6" s="53" t="s">
        <v>24</v>
      </c>
      <c r="G6" s="56">
        <v>20000</v>
      </c>
      <c r="H6" s="45"/>
      <c r="I6" s="45"/>
      <c r="J6" s="45"/>
      <c r="K6" s="45"/>
      <c r="L6" s="46"/>
      <c r="M6" s="45"/>
      <c r="N6" s="32" t="s">
        <v>25</v>
      </c>
      <c r="O6" s="29"/>
      <c r="P6" s="35">
        <v>0.85</v>
      </c>
      <c r="Q6" s="45"/>
      <c r="R6" s="37" t="s">
        <v>26</v>
      </c>
      <c r="S6" s="43">
        <f>G11</f>
        <v>-1553.1035856079397</v>
      </c>
    </row>
    <row r="7" spans="1:19" ht="22.15" customHeight="1" thickBot="1">
      <c r="A7" s="2">
        <v>33725</v>
      </c>
      <c r="B7" s="3">
        <v>144239</v>
      </c>
      <c r="C7" s="3"/>
      <c r="D7" s="3"/>
      <c r="E7" s="3"/>
      <c r="F7" s="53" t="s">
        <v>27</v>
      </c>
      <c r="G7" s="56">
        <f>(G3*H4/10000)*G5</f>
        <v>18446.89641439206</v>
      </c>
      <c r="H7" s="45"/>
      <c r="I7" s="45"/>
      <c r="J7" s="45"/>
      <c r="K7" s="45"/>
      <c r="L7" s="46"/>
      <c r="M7" s="45"/>
      <c r="N7" s="45"/>
      <c r="O7" s="45"/>
      <c r="P7" s="45"/>
      <c r="Q7" s="45"/>
      <c r="R7" s="38" t="s">
        <v>28</v>
      </c>
      <c r="S7" s="44" t="str">
        <f>G10</f>
        <v>Selective Bidding</v>
      </c>
    </row>
    <row r="8" spans="1:19" ht="22.15" customHeight="1">
      <c r="A8" s="4">
        <v>33756</v>
      </c>
      <c r="B8" s="5">
        <v>145273</v>
      </c>
      <c r="C8" s="5"/>
      <c r="D8" s="5"/>
      <c r="E8" s="5"/>
      <c r="F8" s="53" t="s">
        <v>29</v>
      </c>
      <c r="G8" s="57">
        <f>G7/G6</f>
        <v>0.922344820719603</v>
      </c>
      <c r="H8" s="47"/>
      <c r="I8" s="45"/>
      <c r="J8" s="45"/>
      <c r="K8" s="45"/>
      <c r="L8" s="46"/>
      <c r="M8" s="45"/>
      <c r="N8" s="45"/>
      <c r="O8" s="45"/>
      <c r="P8" s="45"/>
      <c r="Q8" s="45"/>
      <c r="R8" s="45"/>
      <c r="S8" s="45"/>
    </row>
    <row r="9" spans="1:19" ht="22.15" customHeight="1">
      <c r="A9" s="2">
        <v>33786</v>
      </c>
      <c r="B9" s="3">
        <v>146743</v>
      </c>
      <c r="C9" s="3"/>
      <c r="D9" s="3"/>
      <c r="E9" s="3"/>
      <c r="F9" s="53" t="s">
        <v>25</v>
      </c>
      <c r="G9" s="58">
        <v>0.85</v>
      </c>
      <c r="H9" s="45"/>
      <c r="I9" s="45"/>
      <c r="J9" s="45"/>
      <c r="K9" s="45"/>
      <c r="L9" s="46"/>
      <c r="M9" s="45"/>
      <c r="N9" s="45"/>
      <c r="O9" s="45"/>
      <c r="P9" s="45"/>
      <c r="Q9" s="45"/>
      <c r="R9" s="45"/>
      <c r="S9" s="45"/>
    </row>
    <row r="10" spans="1:19" ht="22.15" customHeight="1">
      <c r="A10" s="4">
        <v>33817</v>
      </c>
      <c r="B10" s="5">
        <v>146070</v>
      </c>
      <c r="C10" s="5"/>
      <c r="D10" s="5"/>
      <c r="E10" s="5"/>
      <c r="F10" s="53" t="s">
        <v>30</v>
      </c>
      <c r="G10" s="59" t="str">
        <f>IF(G8&gt;G9,"Selective Bidding","Pursue Additional Projects")</f>
        <v>Selective Bidding</v>
      </c>
      <c r="H10" s="45"/>
      <c r="I10" s="45"/>
      <c r="J10" s="45"/>
      <c r="K10" s="45"/>
      <c r="L10" s="46"/>
      <c r="M10" s="45"/>
      <c r="N10" s="45"/>
      <c r="O10" s="45"/>
      <c r="P10" s="45"/>
      <c r="Q10" s="45"/>
      <c r="R10" s="45"/>
      <c r="S10" s="45"/>
    </row>
    <row r="11" spans="1:19" ht="22.15" customHeight="1" thickBot="1">
      <c r="A11" s="2">
        <v>33848</v>
      </c>
      <c r="B11" s="3">
        <v>147932</v>
      </c>
      <c r="C11" s="3"/>
      <c r="D11" s="3"/>
      <c r="E11" s="3"/>
      <c r="F11" s="60" t="s">
        <v>26</v>
      </c>
      <c r="G11" s="61">
        <f>G7-G6</f>
        <v>-1553.1035856079397</v>
      </c>
      <c r="H11" s="47"/>
      <c r="I11" s="45"/>
      <c r="J11" s="45"/>
      <c r="K11" s="45"/>
      <c r="L11" s="45"/>
      <c r="M11" s="45"/>
      <c r="N11" s="45"/>
      <c r="O11" s="45"/>
      <c r="P11" s="45"/>
      <c r="Q11" s="45"/>
      <c r="R11" s="45"/>
      <c r="S11" s="45"/>
    </row>
    <row r="12" spans="1:19" ht="20.100000000000001" customHeight="1">
      <c r="A12" s="4">
        <v>33878</v>
      </c>
      <c r="B12" s="5">
        <v>149346</v>
      </c>
      <c r="C12" s="5"/>
      <c r="D12" s="5"/>
      <c r="E12" s="5"/>
      <c r="F12" s="45"/>
      <c r="G12" s="45"/>
      <c r="H12" s="45"/>
      <c r="I12" s="45" t="s">
        <v>31</v>
      </c>
      <c r="J12" s="45"/>
      <c r="K12" s="45"/>
      <c r="L12" s="45"/>
      <c r="M12" s="45"/>
      <c r="N12" s="45"/>
      <c r="O12" s="45"/>
      <c r="P12" s="45"/>
      <c r="Q12" s="45"/>
      <c r="R12" s="45"/>
      <c r="S12" s="45"/>
    </row>
    <row r="13" spans="1:19" ht="20.100000000000001" customHeight="1">
      <c r="A13" s="2">
        <v>33909</v>
      </c>
      <c r="B13" s="3">
        <v>149131</v>
      </c>
      <c r="C13" s="3"/>
      <c r="D13" s="3"/>
      <c r="E13" s="3"/>
      <c r="F13" s="45"/>
      <c r="G13" s="45"/>
      <c r="H13" s="45"/>
      <c r="I13" s="45"/>
      <c r="J13" s="45"/>
      <c r="K13" s="45"/>
      <c r="L13" s="45"/>
      <c r="M13" s="45"/>
      <c r="N13" s="45"/>
      <c r="O13" s="45"/>
      <c r="P13" s="45"/>
      <c r="Q13" s="45"/>
      <c r="R13" s="45"/>
      <c r="S13" s="45"/>
    </row>
    <row r="14" spans="1:19" ht="20.100000000000001" customHeight="1">
      <c r="A14" s="4">
        <v>33939</v>
      </c>
      <c r="B14" s="5">
        <v>150578</v>
      </c>
      <c r="C14" s="5"/>
      <c r="D14" s="5"/>
      <c r="E14" s="5"/>
      <c r="F14" s="45"/>
      <c r="G14" s="45"/>
      <c r="H14" s="45"/>
      <c r="I14" s="45"/>
      <c r="J14" s="45"/>
      <c r="K14" s="45"/>
      <c r="L14" s="45"/>
      <c r="M14" s="45"/>
      <c r="N14" s="45"/>
      <c r="O14" s="45"/>
      <c r="P14" s="45"/>
      <c r="Q14" s="45"/>
      <c r="R14" s="45"/>
      <c r="S14" s="45"/>
    </row>
    <row r="15" spans="1:19" ht="20.100000000000001" customHeight="1">
      <c r="A15" s="2">
        <v>33970</v>
      </c>
      <c r="B15" s="3">
        <v>152329</v>
      </c>
      <c r="C15" s="3"/>
      <c r="D15" s="3"/>
      <c r="E15" s="3"/>
      <c r="F15" s="45"/>
      <c r="G15" s="45"/>
      <c r="H15" s="45"/>
      <c r="I15" s="45"/>
      <c r="J15" s="45"/>
      <c r="K15" s="45"/>
      <c r="L15" s="45"/>
      <c r="M15" s="45"/>
      <c r="N15" s="45"/>
      <c r="O15" s="45"/>
      <c r="P15" s="45"/>
      <c r="Q15" s="45"/>
      <c r="R15" s="45"/>
      <c r="S15" s="45"/>
    </row>
    <row r="16" spans="1:19" ht="20.100000000000001" customHeight="1">
      <c r="A16" s="4">
        <v>34001</v>
      </c>
      <c r="B16" s="5">
        <v>151742</v>
      </c>
      <c r="C16" s="5"/>
      <c r="D16" s="5"/>
      <c r="E16" s="5"/>
      <c r="F16" s="45"/>
      <c r="G16" s="45"/>
      <c r="H16" s="45"/>
      <c r="I16" s="45"/>
      <c r="J16" s="45"/>
      <c r="K16" s="45"/>
      <c r="L16" s="45"/>
      <c r="M16" s="45"/>
      <c r="N16" s="45"/>
      <c r="O16" s="45"/>
      <c r="P16" s="45"/>
      <c r="Q16" s="45"/>
      <c r="R16" s="45"/>
      <c r="S16" s="45"/>
    </row>
    <row r="17" spans="1:19" ht="20.100000000000001" customHeight="1">
      <c r="A17" s="2">
        <v>34029</v>
      </c>
      <c r="B17" s="3">
        <v>150525</v>
      </c>
      <c r="C17" s="3"/>
      <c r="D17" s="3"/>
      <c r="E17" s="3"/>
      <c r="F17" s="45"/>
      <c r="G17" s="45"/>
      <c r="H17" s="45"/>
      <c r="I17" s="45"/>
      <c r="J17" s="45"/>
      <c r="K17" s="45"/>
      <c r="L17" s="45"/>
      <c r="M17" s="45"/>
      <c r="N17" s="45"/>
      <c r="O17" s="45"/>
      <c r="P17" s="45"/>
      <c r="Q17" s="45"/>
      <c r="R17" s="45"/>
      <c r="S17" s="45"/>
    </row>
    <row r="18" spans="1:19" ht="20.100000000000001" customHeight="1">
      <c r="A18" s="4">
        <v>34060</v>
      </c>
      <c r="B18" s="5">
        <v>154720</v>
      </c>
      <c r="C18" s="5"/>
      <c r="D18" s="5"/>
      <c r="E18" s="5"/>
      <c r="F18" s="45"/>
      <c r="G18" s="45"/>
      <c r="H18" s="48"/>
      <c r="I18" s="45"/>
      <c r="J18" s="45"/>
      <c r="K18" s="45"/>
      <c r="L18" s="45"/>
      <c r="M18" s="45"/>
      <c r="N18" s="45"/>
      <c r="O18" s="45"/>
      <c r="P18" s="45"/>
      <c r="Q18" s="45"/>
      <c r="R18" s="45"/>
      <c r="S18" s="45"/>
    </row>
    <row r="19" spans="1:19" ht="20.100000000000001" customHeight="1" thickBot="1">
      <c r="A19" s="2">
        <v>34090</v>
      </c>
      <c r="B19" s="3">
        <v>155537</v>
      </c>
      <c r="C19" s="3"/>
      <c r="D19" s="3"/>
      <c r="E19" s="3"/>
      <c r="F19" s="45"/>
      <c r="G19" s="45"/>
      <c r="H19" s="48"/>
      <c r="I19" s="45"/>
      <c r="J19" s="45"/>
      <c r="K19" s="45"/>
      <c r="L19" s="45"/>
      <c r="M19" s="45"/>
      <c r="N19" s="45"/>
      <c r="O19" s="45"/>
      <c r="P19" s="45"/>
      <c r="Q19" s="45"/>
      <c r="R19" s="45"/>
      <c r="S19" s="45"/>
    </row>
    <row r="20" spans="1:19" ht="20.100000000000001" customHeight="1">
      <c r="A20" s="4">
        <v>34121</v>
      </c>
      <c r="B20" s="5">
        <v>155353</v>
      </c>
      <c r="C20" s="5"/>
      <c r="D20" s="5"/>
      <c r="E20" s="5"/>
      <c r="F20" s="63" t="s">
        <v>32</v>
      </c>
      <c r="G20" s="70"/>
      <c r="H20" s="70"/>
      <c r="I20" s="70"/>
      <c r="J20" s="70"/>
      <c r="K20" s="70"/>
      <c r="L20" s="70"/>
      <c r="M20" s="70"/>
      <c r="N20" s="70"/>
      <c r="O20" s="70"/>
      <c r="P20" s="70"/>
      <c r="Q20" s="70"/>
      <c r="R20" s="70"/>
      <c r="S20" s="70"/>
    </row>
    <row r="21" spans="1:19" ht="20.100000000000001" customHeight="1">
      <c r="A21" s="2">
        <v>34151</v>
      </c>
      <c r="B21" s="3">
        <v>158267</v>
      </c>
      <c r="C21" s="3"/>
      <c r="D21" s="3"/>
      <c r="E21" s="3"/>
      <c r="F21" s="64" t="str">
        <f>Sheet2!A1</f>
        <v>At 92% utilization, the subcontractor is approaching its realistic capacity ceiling. Because skilled trade labor cannot be fully staffed to theoretical levels, true utilization is likely higher than this figure suggests. Prioritize high-margin, scope-fit projects and avoid buying work to fill capacity that may not exist.</v>
      </c>
      <c r="G21" s="71"/>
      <c r="H21" s="71"/>
      <c r="I21" s="71"/>
      <c r="J21" s="71"/>
      <c r="K21" s="71"/>
      <c r="L21" s="71"/>
      <c r="M21" s="71"/>
      <c r="N21" s="71"/>
      <c r="O21" s="71"/>
      <c r="P21" s="71"/>
      <c r="Q21" s="71"/>
      <c r="R21" s="71"/>
      <c r="S21" s="71"/>
    </row>
    <row r="22" spans="1:19" ht="20.100000000000001" customHeight="1">
      <c r="A22" s="4">
        <v>34182</v>
      </c>
      <c r="B22" s="5">
        <v>157425</v>
      </c>
      <c r="C22" s="5"/>
      <c r="D22" s="5"/>
      <c r="E22" s="5"/>
      <c r="F22" s="71"/>
      <c r="G22" s="71"/>
      <c r="H22" s="71"/>
      <c r="I22" s="71"/>
      <c r="J22" s="71"/>
      <c r="K22" s="71"/>
      <c r="L22" s="71"/>
      <c r="M22" s="71"/>
      <c r="N22" s="71"/>
      <c r="O22" s="71"/>
      <c r="P22" s="71"/>
      <c r="Q22" s="71"/>
      <c r="R22" s="71"/>
      <c r="S22" s="71"/>
    </row>
    <row r="23" spans="1:19" ht="20.100000000000001" customHeight="1">
      <c r="A23" s="2">
        <v>34213</v>
      </c>
      <c r="B23" s="3">
        <v>158535</v>
      </c>
      <c r="C23" s="3"/>
      <c r="D23" s="3"/>
      <c r="E23" s="3"/>
      <c r="H23" s="6"/>
    </row>
    <row r="24" spans="1:19" ht="28.15" customHeight="1">
      <c r="A24" s="4">
        <v>34243</v>
      </c>
      <c r="B24" s="5">
        <v>159773</v>
      </c>
      <c r="C24" s="5"/>
      <c r="D24" s="5"/>
      <c r="E24" s="5"/>
    </row>
    <row r="25" spans="1:19" ht="30" customHeight="1">
      <c r="A25" s="2">
        <v>34274</v>
      </c>
      <c r="B25" s="3">
        <v>162004</v>
      </c>
      <c r="C25" s="3"/>
      <c r="D25" s="3"/>
      <c r="E25" s="3"/>
    </row>
    <row r="26" spans="1:19" ht="30" customHeight="1">
      <c r="A26" s="4">
        <v>34304</v>
      </c>
      <c r="B26" s="5">
        <v>163258</v>
      </c>
      <c r="C26" s="5"/>
      <c r="D26" s="5"/>
      <c r="E26" s="5"/>
    </row>
    <row r="27" spans="1:19" ht="20.100000000000001" customHeight="1">
      <c r="A27" s="2">
        <v>34335</v>
      </c>
      <c r="B27" s="3">
        <v>162369</v>
      </c>
      <c r="C27" s="3"/>
      <c r="D27" s="3"/>
      <c r="E27" s="3"/>
      <c r="L27"/>
    </row>
    <row r="28" spans="1:19" ht="20.100000000000001" customHeight="1">
      <c r="A28" s="4">
        <v>34366</v>
      </c>
      <c r="B28" s="5">
        <v>165075</v>
      </c>
      <c r="C28" s="5"/>
      <c r="D28" s="5"/>
      <c r="E28" s="5"/>
      <c r="L28"/>
    </row>
    <row r="29" spans="1:19" ht="22.15" customHeight="1">
      <c r="A29" s="2">
        <v>34394</v>
      </c>
      <c r="B29" s="3">
        <v>168330</v>
      </c>
      <c r="C29" s="3"/>
      <c r="D29" s="3"/>
      <c r="E29" s="3"/>
      <c r="L29"/>
    </row>
    <row r="30" spans="1:19">
      <c r="A30" s="4">
        <v>34425</v>
      </c>
      <c r="B30" s="5">
        <v>168262</v>
      </c>
      <c r="C30" s="5"/>
      <c r="D30" s="5"/>
      <c r="E30" s="5"/>
    </row>
    <row r="31" spans="1:19">
      <c r="A31" s="2">
        <v>34455</v>
      </c>
      <c r="B31" s="3">
        <v>167412</v>
      </c>
      <c r="C31" s="3"/>
      <c r="D31" s="3"/>
      <c r="E31" s="3"/>
    </row>
    <row r="32" spans="1:19">
      <c r="A32" s="4">
        <v>34486</v>
      </c>
      <c r="B32" s="5">
        <v>169337</v>
      </c>
      <c r="C32" s="5"/>
      <c r="D32" s="5"/>
      <c r="E32" s="5"/>
    </row>
    <row r="33" spans="1:5">
      <c r="A33" s="2">
        <v>34516</v>
      </c>
      <c r="B33" s="3">
        <v>169514</v>
      </c>
      <c r="C33" s="3"/>
      <c r="D33" s="3"/>
      <c r="E33" s="3"/>
    </row>
    <row r="34" spans="1:5">
      <c r="A34" s="4">
        <v>34547</v>
      </c>
      <c r="B34" s="5">
        <v>172332</v>
      </c>
      <c r="C34" s="5"/>
      <c r="D34" s="5"/>
      <c r="E34" s="5"/>
    </row>
    <row r="35" spans="1:5">
      <c r="A35" s="2">
        <v>34578</v>
      </c>
      <c r="B35" s="3">
        <v>174018</v>
      </c>
      <c r="C35" s="3"/>
      <c r="D35" s="3"/>
      <c r="E35" s="3"/>
    </row>
    <row r="36" spans="1:5">
      <c r="A36" s="4">
        <v>34608</v>
      </c>
      <c r="B36" s="5">
        <v>175309</v>
      </c>
      <c r="C36" s="5"/>
      <c r="D36" s="5"/>
      <c r="E36" s="5"/>
    </row>
    <row r="37" spans="1:5">
      <c r="A37" s="2">
        <v>34639</v>
      </c>
      <c r="B37" s="3">
        <v>175761</v>
      </c>
      <c r="C37" s="3"/>
      <c r="D37" s="3"/>
      <c r="E37" s="3"/>
    </row>
    <row r="38" spans="1:5">
      <c r="A38" s="4">
        <v>34669</v>
      </c>
      <c r="B38" s="5">
        <v>176168</v>
      </c>
      <c r="C38" s="5"/>
      <c r="D38" s="5"/>
      <c r="E38" s="5"/>
    </row>
    <row r="39" spans="1:5">
      <c r="A39" s="2">
        <v>34700</v>
      </c>
      <c r="B39" s="3">
        <v>177136</v>
      </c>
      <c r="C39" s="3"/>
      <c r="D39" s="3"/>
      <c r="E39" s="3"/>
    </row>
    <row r="40" spans="1:5">
      <c r="A40" s="4">
        <v>34731</v>
      </c>
      <c r="B40" s="5">
        <v>174560</v>
      </c>
      <c r="C40" s="5"/>
      <c r="D40" s="5"/>
      <c r="E40" s="5"/>
    </row>
    <row r="41" spans="1:5">
      <c r="A41" s="2">
        <v>34759</v>
      </c>
      <c r="B41" s="3">
        <v>176376</v>
      </c>
      <c r="C41" s="3"/>
      <c r="D41" s="3"/>
      <c r="E41" s="3"/>
    </row>
    <row r="42" spans="1:5">
      <c r="A42" s="4">
        <v>34790</v>
      </c>
      <c r="B42" s="5">
        <v>176353</v>
      </c>
      <c r="C42" s="5"/>
      <c r="D42" s="5"/>
      <c r="E42" s="5"/>
    </row>
    <row r="43" spans="1:5">
      <c r="A43" s="2">
        <v>34820</v>
      </c>
      <c r="B43" s="3">
        <v>179020</v>
      </c>
      <c r="C43" s="3"/>
      <c r="D43" s="3"/>
      <c r="E43" s="3"/>
    </row>
    <row r="44" spans="1:5">
      <c r="A44" s="4">
        <v>34851</v>
      </c>
      <c r="B44" s="5">
        <v>181382</v>
      </c>
      <c r="C44" s="5"/>
      <c r="D44" s="5"/>
      <c r="E44" s="5"/>
    </row>
    <row r="45" spans="1:5">
      <c r="A45" s="2">
        <v>34881</v>
      </c>
      <c r="B45" s="3">
        <v>180019</v>
      </c>
      <c r="C45" s="3"/>
      <c r="D45" s="3"/>
      <c r="E45" s="3"/>
    </row>
    <row r="46" spans="1:5">
      <c r="A46" s="4">
        <v>34912</v>
      </c>
      <c r="B46" s="5">
        <v>181787</v>
      </c>
      <c r="C46" s="5"/>
      <c r="D46" s="5"/>
      <c r="E46" s="5"/>
    </row>
    <row r="47" spans="1:5">
      <c r="A47" s="2">
        <v>34943</v>
      </c>
      <c r="B47" s="3">
        <v>182074</v>
      </c>
      <c r="C47" s="3"/>
      <c r="D47" s="3"/>
      <c r="E47" s="3"/>
    </row>
    <row r="48" spans="1:5">
      <c r="A48" s="4">
        <v>34973</v>
      </c>
      <c r="B48" s="5">
        <v>181411</v>
      </c>
      <c r="C48" s="5"/>
      <c r="D48" s="5"/>
      <c r="E48" s="5"/>
    </row>
    <row r="49" spans="1:5">
      <c r="A49" s="2">
        <v>35004</v>
      </c>
      <c r="B49" s="3">
        <v>184327</v>
      </c>
      <c r="C49" s="3"/>
      <c r="D49" s="3"/>
      <c r="E49" s="3"/>
    </row>
    <row r="50" spans="1:5">
      <c r="A50" s="4">
        <v>35034</v>
      </c>
      <c r="B50" s="5">
        <v>184841</v>
      </c>
      <c r="C50" s="5"/>
      <c r="D50" s="5"/>
      <c r="E50" s="5"/>
    </row>
    <row r="51" spans="1:5">
      <c r="A51" s="2">
        <v>35065</v>
      </c>
      <c r="B51" s="3">
        <v>184636</v>
      </c>
      <c r="C51" s="3"/>
      <c r="D51" s="3"/>
      <c r="E51" s="3"/>
    </row>
    <row r="52" spans="1:5">
      <c r="A52" s="4">
        <v>35096</v>
      </c>
      <c r="B52" s="5">
        <v>187576</v>
      </c>
      <c r="C52" s="5"/>
      <c r="D52" s="5"/>
      <c r="E52" s="5"/>
    </row>
    <row r="53" spans="1:5">
      <c r="A53" s="2">
        <v>35125</v>
      </c>
      <c r="B53" s="3">
        <v>188237</v>
      </c>
      <c r="C53" s="3"/>
      <c r="D53" s="3"/>
      <c r="E53" s="3"/>
    </row>
    <row r="54" spans="1:5">
      <c r="A54" s="4">
        <v>35156</v>
      </c>
      <c r="B54" s="5">
        <v>189778</v>
      </c>
      <c r="C54" s="5"/>
      <c r="D54" s="5"/>
      <c r="E54" s="5"/>
    </row>
    <row r="55" spans="1:5">
      <c r="A55" s="2">
        <v>35186</v>
      </c>
      <c r="B55" s="3">
        <v>191544</v>
      </c>
      <c r="C55" s="3"/>
      <c r="D55" s="3"/>
      <c r="E55" s="3"/>
    </row>
    <row r="56" spans="1:5">
      <c r="A56" s="4">
        <v>35217</v>
      </c>
      <c r="B56" s="5">
        <v>189960</v>
      </c>
      <c r="C56" s="5"/>
      <c r="D56" s="5"/>
      <c r="E56" s="5"/>
    </row>
    <row r="57" spans="1:5">
      <c r="A57" s="2">
        <v>35247</v>
      </c>
      <c r="B57" s="3">
        <v>191113</v>
      </c>
      <c r="C57" s="3"/>
      <c r="D57" s="3"/>
      <c r="E57" s="3"/>
    </row>
    <row r="58" spans="1:5">
      <c r="A58" s="4">
        <v>35278</v>
      </c>
      <c r="B58" s="5">
        <v>191139</v>
      </c>
      <c r="C58" s="5"/>
      <c r="D58" s="5"/>
      <c r="E58" s="5"/>
    </row>
    <row r="59" spans="1:5">
      <c r="A59" s="2">
        <v>35309</v>
      </c>
      <c r="B59" s="3">
        <v>193303</v>
      </c>
      <c r="C59" s="3"/>
      <c r="D59" s="3"/>
      <c r="E59" s="3"/>
    </row>
    <row r="60" spans="1:5">
      <c r="A60" s="4">
        <v>35339</v>
      </c>
      <c r="B60" s="5">
        <v>195420</v>
      </c>
      <c r="C60" s="5"/>
      <c r="D60" s="5"/>
      <c r="E60" s="5"/>
    </row>
    <row r="61" spans="1:5">
      <c r="A61" s="2">
        <v>35370</v>
      </c>
      <c r="B61" s="3">
        <v>194860</v>
      </c>
      <c r="C61" s="3"/>
      <c r="D61" s="3"/>
      <c r="E61" s="3"/>
    </row>
    <row r="62" spans="1:5">
      <c r="A62" s="4">
        <v>35400</v>
      </c>
      <c r="B62" s="5">
        <v>195318</v>
      </c>
      <c r="C62" s="5"/>
      <c r="D62" s="5"/>
      <c r="E62" s="5"/>
    </row>
    <row r="63" spans="1:5">
      <c r="A63" s="2">
        <v>35431</v>
      </c>
      <c r="B63" s="3">
        <v>197447</v>
      </c>
      <c r="C63" s="3"/>
      <c r="D63" s="3"/>
      <c r="E63" s="3"/>
    </row>
    <row r="64" spans="1:5">
      <c r="A64" s="4">
        <v>35462</v>
      </c>
      <c r="B64" s="5">
        <v>198891</v>
      </c>
      <c r="C64" s="5"/>
      <c r="D64" s="5"/>
      <c r="E64" s="5"/>
    </row>
    <row r="65" spans="1:5">
      <c r="A65" s="2">
        <v>35490</v>
      </c>
      <c r="B65" s="3">
        <v>200352</v>
      </c>
      <c r="C65" s="3"/>
      <c r="D65" s="3"/>
      <c r="E65" s="3"/>
    </row>
    <row r="66" spans="1:5">
      <c r="A66" s="4">
        <v>35521</v>
      </c>
      <c r="B66" s="5">
        <v>197212</v>
      </c>
      <c r="C66" s="5"/>
      <c r="D66" s="5"/>
      <c r="E66" s="5"/>
    </row>
    <row r="67" spans="1:5">
      <c r="A67" s="2">
        <v>35551</v>
      </c>
      <c r="B67" s="3">
        <v>196937</v>
      </c>
      <c r="C67" s="3"/>
      <c r="D67" s="3"/>
      <c r="E67" s="3"/>
    </row>
    <row r="68" spans="1:5">
      <c r="A68" s="4">
        <v>35582</v>
      </c>
      <c r="B68" s="5">
        <v>199311</v>
      </c>
      <c r="C68" s="5"/>
      <c r="D68" s="5"/>
      <c r="E68" s="5"/>
    </row>
    <row r="69" spans="1:5">
      <c r="A69" s="2">
        <v>35612</v>
      </c>
      <c r="B69" s="3">
        <v>201751</v>
      </c>
      <c r="C69" s="3"/>
      <c r="D69" s="3"/>
      <c r="E69" s="3"/>
    </row>
    <row r="70" spans="1:5">
      <c r="A70" s="4">
        <v>35643</v>
      </c>
      <c r="B70" s="5">
        <v>201892</v>
      </c>
      <c r="C70" s="5"/>
      <c r="D70" s="5"/>
      <c r="E70" s="5"/>
    </row>
    <row r="71" spans="1:5">
      <c r="A71" s="2">
        <v>35674</v>
      </c>
      <c r="B71" s="3">
        <v>202992</v>
      </c>
      <c r="C71" s="3"/>
      <c r="D71" s="3"/>
      <c r="E71" s="3"/>
    </row>
    <row r="72" spans="1:5">
      <c r="A72" s="4">
        <v>35704</v>
      </c>
      <c r="B72" s="5">
        <v>203055</v>
      </c>
      <c r="C72" s="5"/>
      <c r="D72" s="5"/>
      <c r="E72" s="5"/>
    </row>
    <row r="73" spans="1:5">
      <c r="A73" s="2">
        <v>35735</v>
      </c>
      <c r="B73" s="3">
        <v>202778</v>
      </c>
      <c r="C73" s="3"/>
      <c r="D73" s="3"/>
      <c r="E73" s="3"/>
    </row>
    <row r="74" spans="1:5">
      <c r="A74" s="4">
        <v>35765</v>
      </c>
      <c r="B74" s="5">
        <v>203837</v>
      </c>
      <c r="C74" s="5"/>
      <c r="D74" s="5"/>
      <c r="E74" s="5"/>
    </row>
    <row r="75" spans="1:5">
      <c r="A75" s="2">
        <v>35796</v>
      </c>
      <c r="B75" s="3">
        <v>204505</v>
      </c>
      <c r="C75" s="3"/>
      <c r="D75" s="3"/>
      <c r="E75" s="3"/>
    </row>
    <row r="76" spans="1:5">
      <c r="A76" s="4">
        <v>35827</v>
      </c>
      <c r="B76" s="5">
        <v>204207</v>
      </c>
      <c r="C76" s="5"/>
      <c r="D76" s="5"/>
      <c r="E76" s="5"/>
    </row>
    <row r="77" spans="1:5">
      <c r="A77" s="2">
        <v>35855</v>
      </c>
      <c r="B77" s="3">
        <v>205311</v>
      </c>
      <c r="C77" s="3"/>
      <c r="D77" s="3"/>
      <c r="E77" s="3"/>
    </row>
    <row r="78" spans="1:5">
      <c r="A78" s="4">
        <v>35886</v>
      </c>
      <c r="B78" s="5">
        <v>208683</v>
      </c>
      <c r="C78" s="5"/>
      <c r="D78" s="5"/>
      <c r="E78" s="5"/>
    </row>
    <row r="79" spans="1:5">
      <c r="A79" s="2">
        <v>35916</v>
      </c>
      <c r="B79" s="3">
        <v>209165</v>
      </c>
      <c r="C79" s="3"/>
      <c r="D79" s="3"/>
      <c r="E79" s="3"/>
    </row>
    <row r="80" spans="1:5">
      <c r="A80" s="4">
        <v>35947</v>
      </c>
      <c r="B80" s="5">
        <v>211222</v>
      </c>
      <c r="C80" s="5"/>
      <c r="D80" s="5"/>
      <c r="E80" s="5"/>
    </row>
    <row r="81" spans="1:5">
      <c r="A81" s="2">
        <v>35977</v>
      </c>
      <c r="B81" s="3">
        <v>209658</v>
      </c>
      <c r="C81" s="3"/>
      <c r="D81" s="3"/>
      <c r="E81" s="3"/>
    </row>
    <row r="82" spans="1:5">
      <c r="A82" s="4">
        <v>36008</v>
      </c>
      <c r="B82" s="5">
        <v>207737</v>
      </c>
      <c r="C82" s="5"/>
      <c r="D82" s="5"/>
      <c r="E82" s="5"/>
    </row>
    <row r="83" spans="1:5">
      <c r="A83" s="2">
        <v>36039</v>
      </c>
      <c r="B83" s="3">
        <v>210112</v>
      </c>
      <c r="C83" s="3"/>
      <c r="D83" s="3"/>
      <c r="E83" s="3"/>
    </row>
    <row r="84" spans="1:5">
      <c r="A84" s="4">
        <v>36069</v>
      </c>
      <c r="B84" s="5">
        <v>213794</v>
      </c>
      <c r="C84" s="5"/>
      <c r="D84" s="5"/>
      <c r="E84" s="5"/>
    </row>
    <row r="85" spans="1:5">
      <c r="A85" s="2">
        <v>36100</v>
      </c>
      <c r="B85" s="3">
        <v>215194</v>
      </c>
      <c r="C85" s="3"/>
      <c r="D85" s="3"/>
      <c r="E85" s="3"/>
    </row>
    <row r="86" spans="1:5">
      <c r="A86" s="4">
        <v>36130</v>
      </c>
      <c r="B86" s="5">
        <v>217396</v>
      </c>
      <c r="C86" s="5"/>
      <c r="D86" s="5"/>
      <c r="E86" s="5"/>
    </row>
    <row r="87" spans="1:5">
      <c r="A87" s="2">
        <v>36161</v>
      </c>
      <c r="B87" s="3">
        <v>217930</v>
      </c>
      <c r="C87" s="3"/>
      <c r="D87" s="3"/>
      <c r="E87" s="3"/>
    </row>
    <row r="88" spans="1:5">
      <c r="A88" s="4">
        <v>36192</v>
      </c>
      <c r="B88" s="5">
        <v>220769</v>
      </c>
      <c r="C88" s="5"/>
      <c r="D88" s="5"/>
      <c r="E88" s="5"/>
    </row>
    <row r="89" spans="1:5">
      <c r="A89" s="2">
        <v>36220</v>
      </c>
      <c r="B89" s="3">
        <v>222199</v>
      </c>
      <c r="C89" s="3"/>
      <c r="D89" s="3"/>
      <c r="E89" s="3"/>
    </row>
    <row r="90" spans="1:5">
      <c r="A90" s="4">
        <v>36251</v>
      </c>
      <c r="B90" s="5">
        <v>223837</v>
      </c>
      <c r="C90" s="5"/>
      <c r="D90" s="5"/>
      <c r="E90" s="5"/>
    </row>
    <row r="91" spans="1:5">
      <c r="A91" s="2">
        <v>36281</v>
      </c>
      <c r="B91" s="3">
        <v>225577</v>
      </c>
      <c r="C91" s="3"/>
      <c r="D91" s="3"/>
      <c r="E91" s="3"/>
    </row>
    <row r="92" spans="1:5">
      <c r="A92" s="4">
        <v>36312</v>
      </c>
      <c r="B92" s="5">
        <v>226474</v>
      </c>
      <c r="C92" s="5"/>
      <c r="D92" s="5"/>
      <c r="E92" s="5"/>
    </row>
    <row r="93" spans="1:5">
      <c r="A93" s="2">
        <v>36342</v>
      </c>
      <c r="B93" s="3">
        <v>228424</v>
      </c>
      <c r="C93" s="3"/>
      <c r="D93" s="3"/>
      <c r="E93" s="3"/>
    </row>
    <row r="94" spans="1:5">
      <c r="A94" s="4">
        <v>36373</v>
      </c>
      <c r="B94" s="5">
        <v>230902</v>
      </c>
      <c r="C94" s="5"/>
      <c r="D94" s="5"/>
      <c r="E94" s="5"/>
    </row>
    <row r="95" spans="1:5">
      <c r="A95" s="2">
        <v>36404</v>
      </c>
      <c r="B95" s="3">
        <v>231912</v>
      </c>
      <c r="C95" s="3"/>
      <c r="D95" s="3"/>
      <c r="E95" s="3"/>
    </row>
    <row r="96" spans="1:5">
      <c r="A96" s="4">
        <v>36434</v>
      </c>
      <c r="B96" s="5">
        <v>231254</v>
      </c>
      <c r="C96" s="5"/>
      <c r="D96" s="5"/>
      <c r="E96" s="5"/>
    </row>
    <row r="97" spans="1:5">
      <c r="A97" s="2">
        <v>36465</v>
      </c>
      <c r="B97" s="3">
        <v>234425</v>
      </c>
      <c r="C97" s="3"/>
      <c r="D97" s="3"/>
      <c r="E97" s="3"/>
    </row>
    <row r="98" spans="1:5">
      <c r="A98" s="4">
        <v>36495</v>
      </c>
      <c r="B98" s="5">
        <v>239589</v>
      </c>
      <c r="C98" s="5"/>
      <c r="D98" s="5"/>
      <c r="E98" s="5"/>
    </row>
    <row r="99" spans="1:5">
      <c r="A99" s="2">
        <v>36526</v>
      </c>
      <c r="B99" s="3">
        <v>237541</v>
      </c>
      <c r="C99" s="3"/>
      <c r="D99" s="3"/>
      <c r="E99" s="3"/>
    </row>
    <row r="100" spans="1:5">
      <c r="A100" s="4">
        <v>36557</v>
      </c>
      <c r="B100" s="5">
        <v>241541</v>
      </c>
      <c r="C100" s="5"/>
      <c r="D100" s="5"/>
      <c r="E100" s="5"/>
    </row>
    <row r="101" spans="1:5">
      <c r="A101" s="2">
        <v>36586</v>
      </c>
      <c r="B101" s="3">
        <v>244533</v>
      </c>
      <c r="C101" s="3"/>
      <c r="D101" s="3"/>
      <c r="E101" s="3"/>
    </row>
    <row r="102" spans="1:5">
      <c r="A102" s="4">
        <v>36617</v>
      </c>
      <c r="B102" s="5">
        <v>239552</v>
      </c>
      <c r="C102" s="5"/>
      <c r="D102" s="5"/>
      <c r="E102" s="5"/>
    </row>
    <row r="103" spans="1:5">
      <c r="A103" s="2">
        <v>36647</v>
      </c>
      <c r="B103" s="3">
        <v>241546</v>
      </c>
      <c r="C103" s="3"/>
      <c r="D103" s="3"/>
      <c r="E103" s="3"/>
    </row>
    <row r="104" spans="1:5">
      <c r="A104" s="4">
        <v>36678</v>
      </c>
      <c r="B104" s="5">
        <v>243226</v>
      </c>
      <c r="C104" s="5"/>
      <c r="D104" s="5"/>
      <c r="E104" s="5"/>
    </row>
    <row r="105" spans="1:5">
      <c r="A105" s="2">
        <v>36708</v>
      </c>
      <c r="B105" s="3">
        <v>240979</v>
      </c>
      <c r="C105" s="3"/>
      <c r="D105" s="3"/>
      <c r="E105" s="3"/>
    </row>
    <row r="106" spans="1:5">
      <c r="A106" s="4">
        <v>36739</v>
      </c>
      <c r="B106" s="5">
        <v>242318</v>
      </c>
      <c r="C106" s="5"/>
      <c r="D106" s="5"/>
      <c r="E106" s="5"/>
    </row>
    <row r="107" spans="1:5">
      <c r="A107" s="2">
        <v>36770</v>
      </c>
      <c r="B107" s="3">
        <v>245520</v>
      </c>
      <c r="C107" s="3"/>
      <c r="D107" s="3"/>
      <c r="E107" s="3"/>
    </row>
    <row r="108" spans="1:5">
      <c r="A108" s="4">
        <v>36800</v>
      </c>
      <c r="B108" s="5">
        <v>245399</v>
      </c>
      <c r="C108" s="5"/>
      <c r="D108" s="5"/>
      <c r="E108" s="5"/>
    </row>
    <row r="109" spans="1:5">
      <c r="A109" s="2">
        <v>36831</v>
      </c>
      <c r="B109" s="3">
        <v>243846</v>
      </c>
      <c r="C109" s="3"/>
      <c r="D109" s="3"/>
      <c r="E109" s="3"/>
    </row>
    <row r="110" spans="1:5">
      <c r="A110" s="4">
        <v>36861</v>
      </c>
      <c r="B110" s="5">
        <v>243844</v>
      </c>
      <c r="C110" s="5"/>
      <c r="D110" s="5"/>
      <c r="E110" s="5"/>
    </row>
    <row r="111" spans="1:5">
      <c r="A111" s="2">
        <v>36892</v>
      </c>
      <c r="B111" s="3">
        <v>247339</v>
      </c>
      <c r="C111" s="3"/>
      <c r="D111" s="3"/>
      <c r="E111" s="3"/>
    </row>
    <row r="112" spans="1:5">
      <c r="A112" s="4">
        <v>36923</v>
      </c>
      <c r="B112" s="5">
        <v>247289</v>
      </c>
      <c r="C112" s="5"/>
      <c r="D112" s="5"/>
      <c r="E112" s="5"/>
    </row>
    <row r="113" spans="1:5">
      <c r="A113" s="2">
        <v>36951</v>
      </c>
      <c r="B113" s="3">
        <v>244514</v>
      </c>
      <c r="C113" s="3"/>
      <c r="D113" s="3"/>
      <c r="E113" s="3"/>
    </row>
    <row r="114" spans="1:5">
      <c r="A114" s="4">
        <v>36982</v>
      </c>
      <c r="B114" s="5">
        <v>249113</v>
      </c>
      <c r="C114" s="5"/>
      <c r="D114" s="5"/>
      <c r="E114" s="5"/>
    </row>
    <row r="115" spans="1:5">
      <c r="A115" s="2">
        <v>37012</v>
      </c>
      <c r="B115" s="3">
        <v>250250</v>
      </c>
      <c r="C115" s="3"/>
      <c r="D115" s="3"/>
      <c r="E115" s="3"/>
    </row>
    <row r="116" spans="1:5">
      <c r="A116" s="4">
        <v>37043</v>
      </c>
      <c r="B116" s="5">
        <v>248836</v>
      </c>
      <c r="C116" s="5"/>
      <c r="D116" s="5"/>
      <c r="E116" s="5"/>
    </row>
    <row r="117" spans="1:5">
      <c r="A117" s="2">
        <v>37073</v>
      </c>
      <c r="B117" s="3">
        <v>247336</v>
      </c>
      <c r="C117" s="3"/>
      <c r="D117" s="3"/>
      <c r="E117" s="3"/>
    </row>
    <row r="118" spans="1:5">
      <c r="A118" s="4">
        <v>37104</v>
      </c>
      <c r="B118" s="5">
        <v>249590</v>
      </c>
      <c r="C118" s="5"/>
      <c r="D118" s="5"/>
      <c r="E118" s="5"/>
    </row>
    <row r="119" spans="1:5">
      <c r="A119" s="2">
        <v>37135</v>
      </c>
      <c r="B119" s="3">
        <v>243130</v>
      </c>
      <c r="C119" s="3"/>
      <c r="D119" s="3"/>
      <c r="E119" s="3"/>
    </row>
    <row r="120" spans="1:5">
      <c r="A120" s="4">
        <v>37165</v>
      </c>
      <c r="B120" s="5">
        <v>262862</v>
      </c>
      <c r="C120" s="5"/>
      <c r="D120" s="5"/>
      <c r="E120" s="5"/>
    </row>
    <row r="121" spans="1:5">
      <c r="A121" s="2">
        <v>37196</v>
      </c>
      <c r="B121" s="3">
        <v>254084</v>
      </c>
      <c r="C121" s="3"/>
      <c r="D121" s="3"/>
      <c r="E121" s="3"/>
    </row>
    <row r="122" spans="1:5">
      <c r="A122" s="4">
        <v>37226</v>
      </c>
      <c r="B122" s="5">
        <v>249879</v>
      </c>
      <c r="C122" s="5"/>
      <c r="D122" s="5"/>
      <c r="E122" s="5"/>
    </row>
    <row r="123" spans="1:5">
      <c r="A123" s="2">
        <v>37257</v>
      </c>
      <c r="B123" s="3">
        <v>250603</v>
      </c>
      <c r="C123" s="3"/>
      <c r="D123" s="3"/>
      <c r="E123" s="3"/>
    </row>
    <row r="124" spans="1:5">
      <c r="A124" s="4">
        <v>37288</v>
      </c>
      <c r="B124" s="5">
        <v>252279</v>
      </c>
      <c r="C124" s="5"/>
      <c r="D124" s="5"/>
      <c r="E124" s="5"/>
    </row>
    <row r="125" spans="1:5">
      <c r="A125" s="2">
        <v>37316</v>
      </c>
      <c r="B125" s="3">
        <v>251542</v>
      </c>
      <c r="C125" s="3"/>
      <c r="D125" s="3"/>
      <c r="E125" s="3"/>
    </row>
    <row r="126" spans="1:5">
      <c r="A126" s="4">
        <v>37347</v>
      </c>
      <c r="B126" s="5">
        <v>254543</v>
      </c>
      <c r="C126" s="5"/>
      <c r="D126" s="5"/>
      <c r="E126" s="5"/>
    </row>
    <row r="127" spans="1:5">
      <c r="A127" s="2">
        <v>37377</v>
      </c>
      <c r="B127" s="3">
        <v>252390</v>
      </c>
      <c r="C127" s="3"/>
      <c r="D127" s="3"/>
      <c r="E127" s="3"/>
    </row>
    <row r="128" spans="1:5">
      <c r="A128" s="4">
        <v>37408</v>
      </c>
      <c r="B128" s="5">
        <v>253652</v>
      </c>
      <c r="C128" s="5"/>
      <c r="D128" s="5"/>
      <c r="E128" s="5"/>
    </row>
    <row r="129" spans="1:5">
      <c r="A129" s="2">
        <v>37438</v>
      </c>
      <c r="B129" s="3">
        <v>257339</v>
      </c>
      <c r="C129" s="3"/>
      <c r="D129" s="3"/>
      <c r="E129" s="3"/>
    </row>
    <row r="130" spans="1:5">
      <c r="A130" s="4">
        <v>37469</v>
      </c>
      <c r="B130" s="5">
        <v>259050</v>
      </c>
      <c r="C130" s="5"/>
      <c r="D130" s="5"/>
      <c r="E130" s="5"/>
    </row>
    <row r="131" spans="1:5">
      <c r="A131" s="2">
        <v>37500</v>
      </c>
      <c r="B131" s="3">
        <v>254081</v>
      </c>
      <c r="C131" s="3"/>
      <c r="D131" s="3"/>
      <c r="E131" s="3"/>
    </row>
    <row r="132" spans="1:5">
      <c r="A132" s="4">
        <v>37530</v>
      </c>
      <c r="B132" s="5">
        <v>256131</v>
      </c>
      <c r="C132" s="5"/>
      <c r="D132" s="5"/>
      <c r="E132" s="5"/>
    </row>
    <row r="133" spans="1:5">
      <c r="A133" s="2">
        <v>37561</v>
      </c>
      <c r="B133" s="3">
        <v>256350</v>
      </c>
      <c r="C133" s="3"/>
      <c r="D133" s="3"/>
      <c r="E133" s="3"/>
    </row>
    <row r="134" spans="1:5">
      <c r="A134" s="4">
        <v>37591</v>
      </c>
      <c r="B134" s="5">
        <v>259206</v>
      </c>
      <c r="C134" s="5"/>
      <c r="D134" s="5"/>
      <c r="E134" s="5"/>
    </row>
    <row r="135" spans="1:5">
      <c r="A135" s="2">
        <v>37622</v>
      </c>
      <c r="B135" s="3">
        <v>261394</v>
      </c>
      <c r="C135" s="3"/>
      <c r="D135" s="3"/>
      <c r="E135" s="3"/>
    </row>
    <row r="136" spans="1:5">
      <c r="A136" s="4">
        <v>37653</v>
      </c>
      <c r="B136" s="5">
        <v>257531</v>
      </c>
      <c r="C136" s="5"/>
      <c r="D136" s="5"/>
      <c r="E136" s="5"/>
    </row>
    <row r="137" spans="1:5">
      <c r="A137" s="2">
        <v>37681</v>
      </c>
      <c r="B137" s="3">
        <v>260566</v>
      </c>
      <c r="C137" s="3"/>
      <c r="D137" s="3"/>
      <c r="E137" s="3"/>
    </row>
    <row r="138" spans="1:5">
      <c r="A138" s="4">
        <v>37712</v>
      </c>
      <c r="B138" s="5">
        <v>261375</v>
      </c>
      <c r="C138" s="5"/>
      <c r="D138" s="5"/>
      <c r="E138" s="5"/>
    </row>
    <row r="139" spans="1:5">
      <c r="A139" s="2">
        <v>37742</v>
      </c>
      <c r="B139" s="3">
        <v>261392</v>
      </c>
      <c r="C139" s="3"/>
      <c r="D139" s="3"/>
      <c r="E139" s="3"/>
    </row>
    <row r="140" spans="1:5">
      <c r="A140" s="4">
        <v>37773</v>
      </c>
      <c r="B140" s="5">
        <v>265331</v>
      </c>
      <c r="C140" s="5"/>
      <c r="D140" s="5"/>
      <c r="E140" s="5"/>
    </row>
    <row r="141" spans="1:5">
      <c r="A141" s="2">
        <v>37803</v>
      </c>
      <c r="B141" s="3">
        <v>267683</v>
      </c>
      <c r="C141" s="3"/>
      <c r="D141" s="3"/>
      <c r="E141" s="3"/>
    </row>
    <row r="142" spans="1:5">
      <c r="A142" s="4">
        <v>37834</v>
      </c>
      <c r="B142" s="5">
        <v>270612</v>
      </c>
      <c r="C142" s="5"/>
      <c r="D142" s="5"/>
      <c r="E142" s="5"/>
    </row>
    <row r="143" spans="1:5">
      <c r="A143" s="2">
        <v>37865</v>
      </c>
      <c r="B143" s="3">
        <v>270212</v>
      </c>
      <c r="C143" s="3"/>
      <c r="D143" s="3"/>
      <c r="E143" s="3"/>
    </row>
    <row r="144" spans="1:5">
      <c r="A144" s="4">
        <v>37895</v>
      </c>
      <c r="B144" s="5">
        <v>269060</v>
      </c>
      <c r="C144" s="5"/>
      <c r="D144" s="5"/>
      <c r="E144" s="5"/>
    </row>
    <row r="145" spans="1:5">
      <c r="A145" s="2">
        <v>37926</v>
      </c>
      <c r="B145" s="3">
        <v>270161</v>
      </c>
      <c r="C145" s="3"/>
      <c r="D145" s="3"/>
      <c r="E145" s="3"/>
    </row>
    <row r="146" spans="1:5">
      <c r="A146" s="4">
        <v>37956</v>
      </c>
      <c r="B146" s="5">
        <v>271550</v>
      </c>
      <c r="C146" s="5"/>
      <c r="D146" s="5"/>
      <c r="E146" s="5"/>
    </row>
    <row r="147" spans="1:5">
      <c r="A147" s="2">
        <v>37987</v>
      </c>
      <c r="B147" s="3">
        <v>272465</v>
      </c>
      <c r="C147" s="3"/>
      <c r="D147" s="3"/>
      <c r="E147" s="3"/>
    </row>
    <row r="148" spans="1:5">
      <c r="A148" s="4">
        <v>38018</v>
      </c>
      <c r="B148" s="5">
        <v>274360</v>
      </c>
      <c r="C148" s="5"/>
      <c r="D148" s="5"/>
      <c r="E148" s="5"/>
    </row>
    <row r="149" spans="1:5">
      <c r="A149" s="2">
        <v>38047</v>
      </c>
      <c r="B149" s="3">
        <v>279692</v>
      </c>
      <c r="C149" s="3"/>
      <c r="D149" s="3"/>
      <c r="E149" s="3"/>
    </row>
    <row r="150" spans="1:5">
      <c r="A150" s="4">
        <v>38078</v>
      </c>
      <c r="B150" s="5">
        <v>277625</v>
      </c>
      <c r="C150" s="5"/>
      <c r="D150" s="5"/>
      <c r="E150" s="5"/>
    </row>
    <row r="151" spans="1:5">
      <c r="A151" s="2">
        <v>38108</v>
      </c>
      <c r="B151" s="3">
        <v>281281</v>
      </c>
      <c r="C151" s="3"/>
      <c r="D151" s="3"/>
      <c r="E151" s="3"/>
    </row>
    <row r="152" spans="1:5">
      <c r="A152" s="4">
        <v>38139</v>
      </c>
      <c r="B152" s="5">
        <v>279141</v>
      </c>
      <c r="C152" s="5"/>
      <c r="D152" s="5"/>
      <c r="E152" s="5"/>
    </row>
    <row r="153" spans="1:5">
      <c r="A153" s="2">
        <v>38169</v>
      </c>
      <c r="B153" s="3">
        <v>281350</v>
      </c>
      <c r="C153" s="3"/>
      <c r="D153" s="3"/>
      <c r="E153" s="3"/>
    </row>
    <row r="154" spans="1:5">
      <c r="A154" s="4">
        <v>38200</v>
      </c>
      <c r="B154" s="5">
        <v>281006</v>
      </c>
      <c r="C154" s="5"/>
      <c r="D154" s="5"/>
      <c r="E154" s="5"/>
    </row>
    <row r="155" spans="1:5">
      <c r="A155" s="2">
        <v>38231</v>
      </c>
      <c r="B155" s="3">
        <v>286866</v>
      </c>
      <c r="C155" s="3"/>
      <c r="D155" s="3"/>
      <c r="E155" s="3"/>
    </row>
    <row r="156" spans="1:5">
      <c r="A156" s="4">
        <v>38261</v>
      </c>
      <c r="B156" s="5">
        <v>287700</v>
      </c>
      <c r="C156" s="5"/>
      <c r="D156" s="5"/>
      <c r="E156" s="5"/>
    </row>
    <row r="157" spans="1:5">
      <c r="A157" s="2">
        <v>38292</v>
      </c>
      <c r="B157" s="3">
        <v>289679</v>
      </c>
      <c r="C157" s="3"/>
      <c r="D157" s="3"/>
      <c r="E157" s="3"/>
    </row>
    <row r="158" spans="1:5">
      <c r="A158" s="4">
        <v>38322</v>
      </c>
      <c r="B158" s="5">
        <v>293401</v>
      </c>
      <c r="C158" s="5"/>
      <c r="D158" s="5"/>
      <c r="E158" s="5"/>
    </row>
    <row r="159" spans="1:5">
      <c r="A159" s="2">
        <v>38353</v>
      </c>
      <c r="B159" s="3">
        <v>290111</v>
      </c>
      <c r="C159" s="3"/>
      <c r="D159" s="3"/>
      <c r="E159" s="3"/>
    </row>
    <row r="160" spans="1:5">
      <c r="A160" s="4">
        <v>38384</v>
      </c>
      <c r="B160" s="5">
        <v>293710</v>
      </c>
      <c r="C160" s="5"/>
      <c r="D160" s="5"/>
      <c r="E160" s="5"/>
    </row>
    <row r="161" spans="1:5">
      <c r="A161" s="2">
        <v>38412</v>
      </c>
      <c r="B161" s="3">
        <v>294743</v>
      </c>
      <c r="C161" s="3"/>
      <c r="D161" s="3"/>
      <c r="E161" s="3"/>
    </row>
    <row r="162" spans="1:5">
      <c r="A162" s="4">
        <v>38443</v>
      </c>
      <c r="B162" s="5">
        <v>297153</v>
      </c>
      <c r="C162" s="5"/>
      <c r="D162" s="5"/>
      <c r="E162" s="5"/>
    </row>
    <row r="163" spans="1:5">
      <c r="A163" s="2">
        <v>38473</v>
      </c>
      <c r="B163" s="3">
        <v>295314</v>
      </c>
      <c r="C163" s="3"/>
      <c r="D163" s="3"/>
      <c r="E163" s="3"/>
    </row>
    <row r="164" spans="1:5">
      <c r="A164" s="4">
        <v>38504</v>
      </c>
      <c r="B164" s="5">
        <v>305083</v>
      </c>
      <c r="C164" s="5"/>
      <c r="D164" s="5"/>
      <c r="E164" s="5"/>
    </row>
    <row r="165" spans="1:5">
      <c r="A165" s="2">
        <v>38534</v>
      </c>
      <c r="B165" s="3">
        <v>307320</v>
      </c>
      <c r="C165" s="3"/>
      <c r="D165" s="3"/>
      <c r="E165" s="3"/>
    </row>
    <row r="166" spans="1:5">
      <c r="A166" s="4">
        <v>38565</v>
      </c>
      <c r="B166" s="5">
        <v>303216</v>
      </c>
      <c r="C166" s="5"/>
      <c r="D166" s="5"/>
      <c r="E166" s="5"/>
    </row>
    <row r="167" spans="1:5">
      <c r="A167" s="2">
        <v>38596</v>
      </c>
      <c r="B167" s="3">
        <v>304187</v>
      </c>
      <c r="C167" s="3"/>
      <c r="D167" s="3"/>
      <c r="E167" s="3"/>
    </row>
    <row r="168" spans="1:5">
      <c r="A168" s="4">
        <v>38626</v>
      </c>
      <c r="B168" s="5">
        <v>303989</v>
      </c>
      <c r="C168" s="5"/>
      <c r="D168" s="5"/>
      <c r="E168" s="5"/>
    </row>
    <row r="169" spans="1:5">
      <c r="A169" s="2">
        <v>38657</v>
      </c>
      <c r="B169" s="3">
        <v>306566</v>
      </c>
      <c r="C169" s="3"/>
      <c r="D169" s="3"/>
      <c r="E169" s="3"/>
    </row>
    <row r="170" spans="1:5">
      <c r="A170" s="4">
        <v>38687</v>
      </c>
      <c r="B170" s="5">
        <v>306723</v>
      </c>
      <c r="C170" s="5"/>
      <c r="D170" s="5"/>
      <c r="E170" s="5"/>
    </row>
    <row r="171" spans="1:5">
      <c r="A171" s="2">
        <v>38718</v>
      </c>
      <c r="B171" s="3">
        <v>315566</v>
      </c>
      <c r="C171" s="3"/>
      <c r="D171" s="3"/>
      <c r="E171" s="3"/>
    </row>
    <row r="172" spans="1:5">
      <c r="A172" s="4">
        <v>38749</v>
      </c>
      <c r="B172" s="5">
        <v>313440</v>
      </c>
      <c r="C172" s="5"/>
      <c r="D172" s="5"/>
      <c r="E172" s="5"/>
    </row>
    <row r="173" spans="1:5">
      <c r="A173" s="2">
        <v>38777</v>
      </c>
      <c r="B173" s="3">
        <v>314471</v>
      </c>
      <c r="C173" s="3"/>
      <c r="D173" s="3"/>
      <c r="E173" s="3"/>
    </row>
    <row r="174" spans="1:5">
      <c r="A174" s="4">
        <v>38808</v>
      </c>
      <c r="B174" s="5">
        <v>316094</v>
      </c>
      <c r="C174" s="5"/>
      <c r="D174" s="5"/>
      <c r="E174" s="5"/>
    </row>
    <row r="175" spans="1:5">
      <c r="A175" s="2">
        <v>38838</v>
      </c>
      <c r="B175" s="3">
        <v>314919</v>
      </c>
      <c r="C175" s="3"/>
      <c r="D175" s="3"/>
      <c r="E175" s="3"/>
    </row>
    <row r="176" spans="1:5">
      <c r="A176" s="4">
        <v>38869</v>
      </c>
      <c r="B176" s="5">
        <v>316978</v>
      </c>
      <c r="C176" s="5"/>
      <c r="D176" s="5"/>
      <c r="E176" s="5"/>
    </row>
    <row r="177" spans="1:5">
      <c r="A177" s="2">
        <v>38899</v>
      </c>
      <c r="B177" s="3">
        <v>317984</v>
      </c>
      <c r="C177" s="3"/>
      <c r="D177" s="3"/>
      <c r="E177" s="3"/>
    </row>
    <row r="178" spans="1:5">
      <c r="A178" s="4">
        <v>38930</v>
      </c>
      <c r="B178" s="5">
        <v>318802</v>
      </c>
      <c r="C178" s="5"/>
      <c r="D178" s="5"/>
      <c r="E178" s="5"/>
    </row>
    <row r="179" spans="1:5">
      <c r="A179" s="2">
        <v>38961</v>
      </c>
      <c r="B179" s="3">
        <v>316400</v>
      </c>
      <c r="C179" s="3"/>
      <c r="D179" s="3"/>
      <c r="E179" s="3"/>
    </row>
    <row r="180" spans="1:5">
      <c r="A180" s="4">
        <v>38991</v>
      </c>
      <c r="B180" s="5">
        <v>316145</v>
      </c>
      <c r="C180" s="5"/>
      <c r="D180" s="5"/>
      <c r="E180" s="5"/>
    </row>
    <row r="181" spans="1:5">
      <c r="A181" s="2">
        <v>39022</v>
      </c>
      <c r="B181" s="3">
        <v>317123</v>
      </c>
      <c r="C181" s="3"/>
      <c r="D181" s="3"/>
      <c r="E181" s="3"/>
    </row>
    <row r="182" spans="1:5">
      <c r="A182" s="4">
        <v>39052</v>
      </c>
      <c r="B182" s="5">
        <v>320312</v>
      </c>
      <c r="C182" s="5"/>
      <c r="D182" s="5"/>
      <c r="E182" s="5"/>
    </row>
    <row r="183" spans="1:5">
      <c r="A183" s="2">
        <v>39083</v>
      </c>
      <c r="B183" s="3">
        <v>320305</v>
      </c>
      <c r="C183" s="3"/>
      <c r="D183" s="3"/>
      <c r="E183" s="3"/>
    </row>
    <row r="184" spans="1:5">
      <c r="A184" s="4">
        <v>39114</v>
      </c>
      <c r="B184" s="5">
        <v>321434</v>
      </c>
      <c r="C184" s="5"/>
      <c r="D184" s="5"/>
      <c r="E184" s="5"/>
    </row>
    <row r="185" spans="1:5">
      <c r="A185" s="2">
        <v>39142</v>
      </c>
      <c r="B185" s="3">
        <v>323708</v>
      </c>
      <c r="C185" s="3"/>
      <c r="D185" s="3"/>
      <c r="E185" s="3"/>
    </row>
    <row r="186" spans="1:5">
      <c r="A186" s="4">
        <v>39173</v>
      </c>
      <c r="B186" s="5">
        <v>322878</v>
      </c>
      <c r="C186" s="5"/>
      <c r="D186" s="5"/>
      <c r="E186" s="5"/>
    </row>
    <row r="187" spans="1:5">
      <c r="A187" s="2">
        <v>39203</v>
      </c>
      <c r="B187" s="3">
        <v>327266</v>
      </c>
      <c r="C187" s="3"/>
      <c r="D187" s="3"/>
      <c r="E187" s="3"/>
    </row>
    <row r="188" spans="1:5">
      <c r="A188" s="4">
        <v>39234</v>
      </c>
      <c r="B188" s="5">
        <v>324076</v>
      </c>
      <c r="C188" s="5"/>
      <c r="D188" s="5"/>
      <c r="E188" s="5"/>
    </row>
    <row r="189" spans="1:5">
      <c r="A189" s="2">
        <v>39264</v>
      </c>
      <c r="B189" s="3">
        <v>325455</v>
      </c>
      <c r="C189" s="3"/>
      <c r="D189" s="3"/>
      <c r="E189" s="3"/>
    </row>
    <row r="190" spans="1:5">
      <c r="A190" s="4">
        <v>39295</v>
      </c>
      <c r="B190" s="5">
        <v>327444</v>
      </c>
      <c r="C190" s="5"/>
      <c r="D190" s="5"/>
      <c r="E190" s="5"/>
    </row>
    <row r="191" spans="1:5">
      <c r="A191" s="2">
        <v>39326</v>
      </c>
      <c r="B191" s="3">
        <v>328668</v>
      </c>
      <c r="C191" s="3"/>
      <c r="D191" s="3"/>
      <c r="E191" s="3"/>
    </row>
    <row r="192" spans="1:5">
      <c r="A192" s="4">
        <v>39356</v>
      </c>
      <c r="B192" s="5">
        <v>330544</v>
      </c>
      <c r="C192" s="5"/>
      <c r="D192" s="5"/>
      <c r="E192" s="5"/>
    </row>
    <row r="193" spans="1:5">
      <c r="A193" s="2">
        <v>39387</v>
      </c>
      <c r="B193" s="3">
        <v>334021</v>
      </c>
      <c r="C193" s="3"/>
      <c r="D193" s="3"/>
      <c r="E193" s="3"/>
    </row>
    <row r="194" spans="1:5">
      <c r="A194" s="4">
        <v>39417</v>
      </c>
      <c r="B194" s="5">
        <v>329259</v>
      </c>
      <c r="C194" s="5"/>
      <c r="D194" s="5"/>
      <c r="E194" s="5"/>
    </row>
    <row r="195" spans="1:5">
      <c r="A195" s="2">
        <v>39448</v>
      </c>
      <c r="B195" s="3">
        <v>330478</v>
      </c>
      <c r="C195" s="3"/>
      <c r="D195" s="3"/>
      <c r="E195" s="3"/>
    </row>
    <row r="196" spans="1:5">
      <c r="A196" s="4">
        <v>39479</v>
      </c>
      <c r="B196" s="5">
        <v>327869</v>
      </c>
      <c r="C196" s="5"/>
      <c r="D196" s="5"/>
      <c r="E196" s="5"/>
    </row>
    <row r="197" spans="1:5">
      <c r="A197" s="2">
        <v>39508</v>
      </c>
      <c r="B197" s="3">
        <v>328493</v>
      </c>
      <c r="C197" s="3"/>
      <c r="D197" s="3"/>
      <c r="E197" s="3"/>
    </row>
    <row r="198" spans="1:5">
      <c r="A198" s="4">
        <v>39539</v>
      </c>
      <c r="B198" s="5">
        <v>328037</v>
      </c>
      <c r="C198" s="5"/>
      <c r="D198" s="5"/>
      <c r="E198" s="5"/>
    </row>
    <row r="199" spans="1:5">
      <c r="A199" s="2">
        <v>39569</v>
      </c>
      <c r="B199" s="3">
        <v>331088</v>
      </c>
      <c r="C199" s="3"/>
      <c r="D199" s="3"/>
      <c r="E199" s="3"/>
    </row>
    <row r="200" spans="1:5">
      <c r="A200" s="4">
        <v>39600</v>
      </c>
      <c r="B200" s="5">
        <v>331764</v>
      </c>
      <c r="C200" s="5"/>
      <c r="D200" s="5"/>
      <c r="E200" s="5"/>
    </row>
    <row r="201" spans="1:5">
      <c r="A201" s="2">
        <v>39630</v>
      </c>
      <c r="B201" s="3">
        <v>330301</v>
      </c>
      <c r="C201" s="3"/>
      <c r="D201" s="3"/>
      <c r="E201" s="3"/>
    </row>
    <row r="202" spans="1:5">
      <c r="A202" s="4">
        <v>39661</v>
      </c>
      <c r="B202" s="5">
        <v>327296</v>
      </c>
      <c r="C202" s="5"/>
      <c r="D202" s="5"/>
      <c r="E202" s="5"/>
    </row>
    <row r="203" spans="1:5">
      <c r="A203" s="2">
        <v>39692</v>
      </c>
      <c r="B203" s="3">
        <v>321568</v>
      </c>
      <c r="C203" s="3"/>
      <c r="D203" s="3"/>
      <c r="E203" s="3"/>
    </row>
    <row r="204" spans="1:5">
      <c r="A204" s="4">
        <v>39722</v>
      </c>
      <c r="B204" s="5">
        <v>308968</v>
      </c>
      <c r="C204" s="5"/>
      <c r="D204" s="5"/>
      <c r="E204" s="5"/>
    </row>
    <row r="205" spans="1:5">
      <c r="A205" s="2">
        <v>39753</v>
      </c>
      <c r="B205" s="3">
        <v>295396</v>
      </c>
      <c r="C205" s="3"/>
      <c r="D205" s="3"/>
      <c r="E205" s="3"/>
    </row>
    <row r="206" spans="1:5">
      <c r="A206" s="4">
        <v>39783</v>
      </c>
      <c r="B206" s="5">
        <v>287571</v>
      </c>
      <c r="C206" s="5"/>
      <c r="D206" s="5"/>
      <c r="E206" s="5"/>
    </row>
    <row r="207" spans="1:5">
      <c r="A207" s="2">
        <v>39814</v>
      </c>
      <c r="B207" s="3">
        <v>292449</v>
      </c>
      <c r="C207" s="3"/>
      <c r="D207" s="3"/>
      <c r="E207" s="3"/>
    </row>
    <row r="208" spans="1:5">
      <c r="A208" s="4">
        <v>39845</v>
      </c>
      <c r="B208" s="5">
        <v>291429</v>
      </c>
      <c r="C208" s="5"/>
      <c r="D208" s="5"/>
      <c r="E208" s="5"/>
    </row>
    <row r="209" spans="1:5">
      <c r="A209" s="2">
        <v>39873</v>
      </c>
      <c r="B209" s="3">
        <v>286022</v>
      </c>
      <c r="C209" s="3"/>
      <c r="D209" s="3"/>
      <c r="E209" s="3"/>
    </row>
    <row r="210" spans="1:5">
      <c r="A210" s="4">
        <v>39904</v>
      </c>
      <c r="B210" s="5">
        <v>287530</v>
      </c>
      <c r="C210" s="5"/>
      <c r="D210" s="5"/>
      <c r="E210" s="5"/>
    </row>
    <row r="211" spans="1:5">
      <c r="A211" s="2">
        <v>39934</v>
      </c>
      <c r="B211" s="3">
        <v>290215</v>
      </c>
      <c r="C211" s="3"/>
      <c r="D211" s="3"/>
      <c r="E211" s="3"/>
    </row>
    <row r="212" spans="1:5">
      <c r="A212" s="4">
        <v>39965</v>
      </c>
      <c r="B212" s="5">
        <v>295458</v>
      </c>
      <c r="C212" s="5"/>
      <c r="D212" s="5"/>
      <c r="E212" s="5"/>
    </row>
    <row r="213" spans="1:5">
      <c r="A213" s="2">
        <v>39995</v>
      </c>
      <c r="B213" s="3">
        <v>296928</v>
      </c>
      <c r="C213" s="3"/>
      <c r="D213" s="3"/>
      <c r="E213" s="3"/>
    </row>
    <row r="214" spans="1:5">
      <c r="A214" s="4">
        <v>40026</v>
      </c>
      <c r="B214" s="5">
        <v>302871</v>
      </c>
      <c r="C214" s="5"/>
      <c r="D214" s="5"/>
      <c r="E214" s="5"/>
    </row>
    <row r="215" spans="1:5">
      <c r="A215" s="2">
        <v>40057</v>
      </c>
      <c r="B215" s="3">
        <v>294449</v>
      </c>
      <c r="C215" s="3"/>
      <c r="D215" s="3"/>
      <c r="E215" s="3"/>
    </row>
    <row r="216" spans="1:5">
      <c r="A216" s="4">
        <v>40087</v>
      </c>
      <c r="B216" s="5">
        <v>298067</v>
      </c>
      <c r="C216" s="5"/>
      <c r="D216" s="5"/>
      <c r="E216" s="5"/>
    </row>
    <row r="217" spans="1:5">
      <c r="A217" s="2">
        <v>40118</v>
      </c>
      <c r="B217" s="3">
        <v>300583</v>
      </c>
      <c r="C217" s="3"/>
      <c r="D217" s="3"/>
      <c r="E217" s="3"/>
    </row>
    <row r="218" spans="1:5">
      <c r="A218" s="4">
        <v>40148</v>
      </c>
      <c r="B218" s="5">
        <v>301959</v>
      </c>
      <c r="C218" s="5"/>
      <c r="D218" s="5"/>
      <c r="E218" s="5"/>
    </row>
    <row r="219" spans="1:5">
      <c r="A219" s="2">
        <v>40179</v>
      </c>
      <c r="B219" s="3">
        <v>302325</v>
      </c>
      <c r="C219" s="3"/>
      <c r="D219" s="3"/>
      <c r="E219" s="3"/>
    </row>
    <row r="220" spans="1:5">
      <c r="A220" s="4">
        <v>40210</v>
      </c>
      <c r="B220" s="5">
        <v>302310</v>
      </c>
      <c r="C220" s="5"/>
      <c r="D220" s="5"/>
      <c r="E220" s="5"/>
    </row>
    <row r="221" spans="1:5">
      <c r="A221" s="2">
        <v>40238</v>
      </c>
      <c r="B221" s="3">
        <v>309525</v>
      </c>
      <c r="C221" s="3"/>
      <c r="D221" s="3"/>
      <c r="E221" s="3"/>
    </row>
    <row r="222" spans="1:5">
      <c r="A222" s="4">
        <v>40269</v>
      </c>
      <c r="B222" s="5">
        <v>312143</v>
      </c>
      <c r="C222" s="5"/>
      <c r="D222" s="5"/>
      <c r="E222" s="5"/>
    </row>
    <row r="223" spans="1:5">
      <c r="A223" s="2">
        <v>40299</v>
      </c>
      <c r="B223" s="3">
        <v>309158</v>
      </c>
      <c r="C223" s="3"/>
      <c r="D223" s="3"/>
      <c r="E223" s="3"/>
    </row>
    <row r="224" spans="1:5">
      <c r="A224" s="4">
        <v>40330</v>
      </c>
      <c r="B224" s="5">
        <v>308588</v>
      </c>
      <c r="C224" s="5"/>
      <c r="D224" s="5"/>
      <c r="E224" s="5"/>
    </row>
    <row r="225" spans="1:5">
      <c r="A225" s="2">
        <v>40360</v>
      </c>
      <c r="B225" s="3">
        <v>309543</v>
      </c>
      <c r="C225" s="3"/>
      <c r="D225" s="3"/>
      <c r="E225" s="3"/>
    </row>
    <row r="226" spans="1:5">
      <c r="A226" s="4">
        <v>40391</v>
      </c>
      <c r="B226" s="5">
        <v>310761</v>
      </c>
      <c r="C226" s="5"/>
      <c r="D226" s="5"/>
      <c r="E226" s="5"/>
    </row>
    <row r="227" spans="1:5">
      <c r="A227" s="2">
        <v>40422</v>
      </c>
      <c r="B227" s="3">
        <v>313785</v>
      </c>
      <c r="C227" s="3"/>
      <c r="D227" s="3"/>
      <c r="E227" s="3"/>
    </row>
    <row r="228" spans="1:5">
      <c r="A228" s="4">
        <v>40452</v>
      </c>
      <c r="B228" s="5">
        <v>317699</v>
      </c>
      <c r="C228" s="5"/>
      <c r="D228" s="5"/>
      <c r="E228" s="5"/>
    </row>
    <row r="229" spans="1:5">
      <c r="A229" s="2">
        <v>40483</v>
      </c>
      <c r="B229" s="3">
        <v>320695</v>
      </c>
      <c r="C229" s="3"/>
      <c r="D229" s="3"/>
      <c r="E229" s="3"/>
    </row>
    <row r="230" spans="1:5">
      <c r="A230" s="4">
        <v>40513</v>
      </c>
      <c r="B230" s="5">
        <v>323421</v>
      </c>
      <c r="C230" s="5"/>
      <c r="D230" s="5"/>
      <c r="E230" s="5"/>
    </row>
    <row r="231" spans="1:5">
      <c r="A231" s="2">
        <v>40544</v>
      </c>
      <c r="B231" s="3">
        <v>325674</v>
      </c>
      <c r="C231" s="3"/>
      <c r="D231" s="3"/>
      <c r="E231" s="3"/>
    </row>
    <row r="232" spans="1:5">
      <c r="A232" s="4">
        <v>40575</v>
      </c>
      <c r="B232" s="5">
        <v>328049</v>
      </c>
      <c r="C232" s="5"/>
      <c r="D232" s="5"/>
      <c r="E232" s="5"/>
    </row>
    <row r="233" spans="1:5">
      <c r="A233" s="2">
        <v>40603</v>
      </c>
      <c r="B233" s="3">
        <v>331161</v>
      </c>
      <c r="C233" s="3"/>
      <c r="D233" s="3"/>
      <c r="E233" s="3"/>
    </row>
    <row r="234" spans="1:5">
      <c r="A234" s="4">
        <v>40634</v>
      </c>
      <c r="B234" s="5">
        <v>333189</v>
      </c>
      <c r="C234" s="5"/>
      <c r="D234" s="5"/>
      <c r="E234" s="5"/>
    </row>
    <row r="235" spans="1:5">
      <c r="A235" s="2">
        <v>40664</v>
      </c>
      <c r="B235" s="3">
        <v>332409</v>
      </c>
      <c r="C235" s="3"/>
      <c r="D235" s="3"/>
      <c r="E235" s="3"/>
    </row>
    <row r="236" spans="1:5">
      <c r="A236" s="4">
        <v>40695</v>
      </c>
      <c r="B236" s="5">
        <v>335108</v>
      </c>
      <c r="C236" s="5"/>
      <c r="D236" s="5"/>
      <c r="E236" s="5"/>
    </row>
    <row r="237" spans="1:5">
      <c r="A237" s="2">
        <v>40725</v>
      </c>
      <c r="B237" s="3">
        <v>334922</v>
      </c>
      <c r="C237" s="3"/>
      <c r="D237" s="3"/>
      <c r="E237" s="3"/>
    </row>
    <row r="238" spans="1:5">
      <c r="A238" s="4">
        <v>40756</v>
      </c>
      <c r="B238" s="5">
        <v>335163</v>
      </c>
      <c r="C238" s="5"/>
      <c r="D238" s="5"/>
      <c r="E238" s="5"/>
    </row>
    <row r="239" spans="1:5">
      <c r="A239" s="2">
        <v>40787</v>
      </c>
      <c r="B239" s="3">
        <v>339011</v>
      </c>
      <c r="C239" s="3"/>
      <c r="D239" s="3"/>
      <c r="E239" s="3"/>
    </row>
    <row r="240" spans="1:5">
      <c r="A240" s="4">
        <v>40817</v>
      </c>
      <c r="B240" s="5">
        <v>341058</v>
      </c>
      <c r="C240" s="5"/>
      <c r="D240" s="5"/>
      <c r="E240" s="5"/>
    </row>
    <row r="241" spans="1:5">
      <c r="A241" s="2">
        <v>40848</v>
      </c>
      <c r="B241" s="3">
        <v>342214</v>
      </c>
      <c r="C241" s="3"/>
      <c r="D241" s="3"/>
      <c r="E241" s="3"/>
    </row>
    <row r="242" spans="1:5">
      <c r="A242" s="4">
        <v>40878</v>
      </c>
      <c r="B242" s="5">
        <v>343093</v>
      </c>
      <c r="C242" s="5"/>
      <c r="D242" s="5"/>
      <c r="E242" s="5"/>
    </row>
    <row r="243" spans="1:5">
      <c r="A243" s="2">
        <v>40909</v>
      </c>
      <c r="B243" s="3">
        <v>345656</v>
      </c>
      <c r="C243" s="3"/>
      <c r="D243" s="3"/>
      <c r="E243" s="3"/>
    </row>
    <row r="244" spans="1:5">
      <c r="A244" s="4">
        <v>40940</v>
      </c>
      <c r="B244" s="5">
        <v>350345</v>
      </c>
      <c r="C244" s="5"/>
      <c r="D244" s="5"/>
      <c r="E244" s="5"/>
    </row>
    <row r="245" spans="1:5">
      <c r="A245" s="2">
        <v>40969</v>
      </c>
      <c r="B245" s="3">
        <v>351748</v>
      </c>
      <c r="C245" s="3"/>
      <c r="D245" s="3"/>
      <c r="E245" s="3"/>
    </row>
    <row r="246" spans="1:5">
      <c r="A246" s="4">
        <v>41000</v>
      </c>
      <c r="B246" s="5">
        <v>349722</v>
      </c>
      <c r="C246" s="5"/>
      <c r="D246" s="5"/>
      <c r="E246" s="5"/>
    </row>
    <row r="247" spans="1:5">
      <c r="A247" s="2">
        <v>41030</v>
      </c>
      <c r="B247" s="3">
        <v>349064</v>
      </c>
      <c r="C247" s="3"/>
      <c r="D247" s="3"/>
      <c r="E247" s="3"/>
    </row>
    <row r="248" spans="1:5">
      <c r="A248" s="4">
        <v>41061</v>
      </c>
      <c r="B248" s="5">
        <v>345339</v>
      </c>
      <c r="C248" s="5"/>
      <c r="D248" s="5"/>
      <c r="E248" s="5"/>
    </row>
    <row r="249" spans="1:5">
      <c r="A249" s="2">
        <v>41091</v>
      </c>
      <c r="B249" s="3">
        <v>346936</v>
      </c>
      <c r="C249" s="3"/>
      <c r="D249" s="3"/>
      <c r="E249" s="3"/>
    </row>
    <row r="250" spans="1:5">
      <c r="A250" s="4">
        <v>41122</v>
      </c>
      <c r="B250" s="5">
        <v>351782</v>
      </c>
      <c r="C250" s="5"/>
      <c r="D250" s="5"/>
      <c r="E250" s="5"/>
    </row>
    <row r="251" spans="1:5">
      <c r="A251" s="2">
        <v>41153</v>
      </c>
      <c r="B251" s="3">
        <v>354575</v>
      </c>
      <c r="C251" s="3"/>
      <c r="D251" s="3"/>
      <c r="E251" s="3"/>
    </row>
    <row r="252" spans="1:5">
      <c r="A252" s="4">
        <v>41183</v>
      </c>
      <c r="B252" s="5">
        <v>354747</v>
      </c>
      <c r="C252" s="5"/>
      <c r="D252" s="5"/>
      <c r="E252" s="5"/>
    </row>
    <row r="253" spans="1:5">
      <c r="A253" s="2">
        <v>41214</v>
      </c>
      <c r="B253" s="3">
        <v>356158</v>
      </c>
      <c r="C253" s="3"/>
      <c r="D253" s="3"/>
      <c r="E253" s="3"/>
    </row>
    <row r="254" spans="1:5">
      <c r="A254" s="4">
        <v>41244</v>
      </c>
      <c r="B254" s="5">
        <v>357519</v>
      </c>
      <c r="C254" s="5"/>
      <c r="D254" s="5"/>
      <c r="E254" s="5"/>
    </row>
    <row r="255" spans="1:5">
      <c r="A255" s="2">
        <v>41275</v>
      </c>
      <c r="B255" s="3">
        <v>360257</v>
      </c>
      <c r="C255" s="3"/>
      <c r="D255" s="3"/>
      <c r="E255" s="3"/>
    </row>
    <row r="256" spans="1:5">
      <c r="A256" s="4">
        <v>41306</v>
      </c>
      <c r="B256" s="5">
        <v>365227</v>
      </c>
      <c r="C256" s="5"/>
      <c r="D256" s="5"/>
      <c r="E256" s="5"/>
    </row>
    <row r="257" spans="1:5">
      <c r="A257" s="2">
        <v>41334</v>
      </c>
      <c r="B257" s="3">
        <v>362148</v>
      </c>
      <c r="C257" s="3"/>
      <c r="D257" s="3"/>
      <c r="E257" s="3"/>
    </row>
    <row r="258" spans="1:5">
      <c r="A258" s="4">
        <v>41365</v>
      </c>
      <c r="B258" s="5">
        <v>360499</v>
      </c>
      <c r="C258" s="5"/>
      <c r="D258" s="5"/>
      <c r="E258" s="5"/>
    </row>
    <row r="259" spans="1:5">
      <c r="A259" s="2">
        <v>41395</v>
      </c>
      <c r="B259" s="3">
        <v>362842</v>
      </c>
      <c r="C259" s="3"/>
      <c r="D259" s="3"/>
      <c r="E259" s="3"/>
    </row>
    <row r="260" spans="1:5">
      <c r="A260" s="4">
        <v>41426</v>
      </c>
      <c r="B260" s="5">
        <v>364181</v>
      </c>
      <c r="C260" s="5"/>
      <c r="D260" s="5"/>
      <c r="E260" s="5"/>
    </row>
    <row r="261" spans="1:5">
      <c r="A261" s="2">
        <v>41456</v>
      </c>
      <c r="B261" s="3">
        <v>366243</v>
      </c>
      <c r="C261" s="3"/>
      <c r="D261" s="3"/>
      <c r="E261" s="3"/>
    </row>
    <row r="262" spans="1:5">
      <c r="A262" s="4">
        <v>41487</v>
      </c>
      <c r="B262" s="5">
        <v>365543</v>
      </c>
      <c r="C262" s="5"/>
      <c r="D262" s="5"/>
      <c r="E262" s="5"/>
    </row>
    <row r="263" spans="1:5">
      <c r="A263" s="2">
        <v>41518</v>
      </c>
      <c r="B263" s="3">
        <v>365668</v>
      </c>
      <c r="C263" s="3"/>
      <c r="D263" s="3"/>
      <c r="E263" s="3"/>
    </row>
    <row r="264" spans="1:5">
      <c r="A264" s="4">
        <v>41548</v>
      </c>
      <c r="B264" s="5">
        <v>366444</v>
      </c>
      <c r="C264" s="5"/>
      <c r="D264" s="5"/>
      <c r="E264" s="5"/>
    </row>
    <row r="265" spans="1:5">
      <c r="A265" s="2">
        <v>41579</v>
      </c>
      <c r="B265" s="3">
        <v>366868</v>
      </c>
      <c r="C265" s="3"/>
      <c r="D265" s="3"/>
      <c r="E265" s="3"/>
    </row>
    <row r="266" spans="1:5">
      <c r="A266" s="4">
        <v>41609</v>
      </c>
      <c r="B266" s="5">
        <v>369499</v>
      </c>
      <c r="C266" s="5"/>
      <c r="D266" s="5"/>
      <c r="E266" s="5"/>
    </row>
    <row r="267" spans="1:5">
      <c r="A267" s="2">
        <v>41640</v>
      </c>
      <c r="B267" s="3">
        <v>366684</v>
      </c>
      <c r="C267" s="3"/>
      <c r="D267" s="3"/>
      <c r="E267" s="3"/>
    </row>
    <row r="268" spans="1:5">
      <c r="A268" s="4">
        <v>41671</v>
      </c>
      <c r="B268" s="5">
        <v>371335</v>
      </c>
      <c r="C268" s="5"/>
      <c r="D268" s="5"/>
      <c r="E268" s="5"/>
    </row>
    <row r="269" spans="1:5">
      <c r="A269" s="2">
        <v>41699</v>
      </c>
      <c r="B269" s="3">
        <v>375285</v>
      </c>
      <c r="C269" s="3"/>
      <c r="D269" s="3"/>
      <c r="E269" s="3"/>
    </row>
    <row r="270" spans="1:5">
      <c r="A270" s="4">
        <v>41730</v>
      </c>
      <c r="B270" s="5">
        <v>379432</v>
      </c>
      <c r="C270" s="5"/>
      <c r="D270" s="5"/>
      <c r="E270" s="5"/>
    </row>
    <row r="271" spans="1:5">
      <c r="A271" s="2">
        <v>41760</v>
      </c>
      <c r="B271" s="3">
        <v>379787</v>
      </c>
      <c r="C271" s="3"/>
      <c r="D271" s="3"/>
      <c r="E271" s="3"/>
    </row>
    <row r="272" spans="1:5">
      <c r="A272" s="4">
        <v>41791</v>
      </c>
      <c r="B272" s="5">
        <v>380618</v>
      </c>
      <c r="C272" s="5"/>
      <c r="D272" s="5"/>
      <c r="E272" s="5"/>
    </row>
    <row r="273" spans="1:5">
      <c r="A273" s="2">
        <v>41821</v>
      </c>
      <c r="B273" s="3">
        <v>381045</v>
      </c>
      <c r="C273" s="3"/>
      <c r="D273" s="3"/>
      <c r="E273" s="3"/>
    </row>
    <row r="274" spans="1:5">
      <c r="A274" s="4">
        <v>41852</v>
      </c>
      <c r="B274" s="5">
        <v>384017</v>
      </c>
      <c r="C274" s="5"/>
      <c r="D274" s="5"/>
      <c r="E274" s="5"/>
    </row>
    <row r="275" spans="1:5">
      <c r="A275" s="2">
        <v>41883</v>
      </c>
      <c r="B275" s="3">
        <v>382277</v>
      </c>
      <c r="C275" s="3"/>
      <c r="D275" s="3"/>
      <c r="E275" s="3"/>
    </row>
    <row r="276" spans="1:5">
      <c r="A276" s="4">
        <v>41913</v>
      </c>
      <c r="B276" s="5">
        <v>383323</v>
      </c>
      <c r="C276" s="5"/>
      <c r="D276" s="5"/>
      <c r="E276" s="5"/>
    </row>
    <row r="277" spans="1:5">
      <c r="A277" s="2">
        <v>41944</v>
      </c>
      <c r="B277" s="3">
        <v>384459</v>
      </c>
      <c r="C277" s="3"/>
      <c r="D277" s="3"/>
      <c r="E277" s="3"/>
    </row>
    <row r="278" spans="1:5">
      <c r="A278" s="4">
        <v>41974</v>
      </c>
      <c r="B278" s="5">
        <v>380682</v>
      </c>
      <c r="C278" s="5"/>
      <c r="D278" s="5"/>
      <c r="E278" s="5"/>
    </row>
    <row r="279" spans="1:5">
      <c r="A279" s="2">
        <v>42005</v>
      </c>
      <c r="B279" s="3">
        <v>378518</v>
      </c>
      <c r="C279" s="3"/>
      <c r="D279" s="3"/>
      <c r="E279" s="3"/>
    </row>
    <row r="280" spans="1:5">
      <c r="A280" s="4">
        <v>42036</v>
      </c>
      <c r="B280" s="5">
        <v>377594</v>
      </c>
      <c r="C280" s="5"/>
      <c r="D280" s="5"/>
      <c r="E280" s="5"/>
    </row>
    <row r="281" spans="1:5">
      <c r="A281" s="2">
        <v>42064</v>
      </c>
      <c r="B281" s="3">
        <v>383681</v>
      </c>
      <c r="C281" s="3"/>
      <c r="D281" s="3"/>
      <c r="E281" s="3"/>
    </row>
    <row r="282" spans="1:5">
      <c r="A282" s="4">
        <v>42095</v>
      </c>
      <c r="B282" s="5">
        <v>383893</v>
      </c>
      <c r="C282" s="5"/>
      <c r="D282" s="5"/>
      <c r="E282" s="5"/>
    </row>
    <row r="283" spans="1:5">
      <c r="A283" s="2">
        <v>42125</v>
      </c>
      <c r="B283" s="3">
        <v>387155</v>
      </c>
      <c r="C283" s="3"/>
      <c r="D283" s="3"/>
      <c r="E283" s="3"/>
    </row>
    <row r="284" spans="1:5">
      <c r="A284" s="4">
        <v>42156</v>
      </c>
      <c r="B284" s="5">
        <v>387199</v>
      </c>
      <c r="C284" s="5"/>
      <c r="D284" s="5"/>
      <c r="E284" s="5"/>
    </row>
    <row r="285" spans="1:5">
      <c r="A285" s="2">
        <v>42186</v>
      </c>
      <c r="B285" s="3">
        <v>390953</v>
      </c>
      <c r="C285" s="3"/>
      <c r="D285" s="3"/>
      <c r="E285" s="3"/>
    </row>
    <row r="286" spans="1:5">
      <c r="A286" s="4">
        <v>42217</v>
      </c>
      <c r="B286" s="5">
        <v>390570</v>
      </c>
      <c r="C286" s="5"/>
      <c r="D286" s="5"/>
      <c r="E286" s="5"/>
    </row>
    <row r="287" spans="1:5">
      <c r="A287" s="2">
        <v>42248</v>
      </c>
      <c r="B287" s="3">
        <v>388551</v>
      </c>
      <c r="C287" s="3"/>
      <c r="D287" s="3"/>
      <c r="E287" s="3"/>
    </row>
    <row r="288" spans="1:5">
      <c r="A288" s="4">
        <v>42278</v>
      </c>
      <c r="B288" s="5">
        <v>387066</v>
      </c>
      <c r="C288" s="5"/>
      <c r="D288" s="5"/>
      <c r="E288" s="5"/>
    </row>
    <row r="289" spans="1:5">
      <c r="A289" s="2">
        <v>42309</v>
      </c>
      <c r="B289" s="3">
        <v>388530</v>
      </c>
      <c r="C289" s="3"/>
      <c r="D289" s="3"/>
      <c r="E289" s="3"/>
    </row>
    <row r="290" spans="1:5">
      <c r="A290" s="4">
        <v>42339</v>
      </c>
      <c r="B290" s="5">
        <v>389551</v>
      </c>
      <c r="C290" s="5"/>
      <c r="D290" s="5"/>
      <c r="E290" s="5"/>
    </row>
    <row r="291" spans="1:5">
      <c r="A291" s="2">
        <v>42370</v>
      </c>
      <c r="B291" s="3">
        <v>387483</v>
      </c>
      <c r="C291" s="3"/>
      <c r="D291" s="3"/>
      <c r="E291" s="3"/>
    </row>
    <row r="292" spans="1:5">
      <c r="A292" s="4">
        <v>42401</v>
      </c>
      <c r="B292" s="5">
        <v>390029</v>
      </c>
      <c r="C292" s="5"/>
      <c r="D292" s="5"/>
      <c r="E292" s="5"/>
    </row>
    <row r="293" spans="1:5">
      <c r="A293" s="2">
        <v>42430</v>
      </c>
      <c r="B293" s="3">
        <v>388998</v>
      </c>
      <c r="C293" s="3"/>
      <c r="D293" s="3"/>
      <c r="E293" s="3"/>
    </row>
    <row r="294" spans="1:5">
      <c r="A294" s="4">
        <v>42461</v>
      </c>
      <c r="B294" s="5">
        <v>391112</v>
      </c>
      <c r="C294" s="5"/>
      <c r="D294" s="5"/>
      <c r="E294" s="5"/>
    </row>
    <row r="295" spans="1:5">
      <c r="A295" s="2">
        <v>42491</v>
      </c>
      <c r="B295" s="3">
        <v>392299</v>
      </c>
      <c r="C295" s="3"/>
      <c r="D295" s="3"/>
      <c r="E295" s="3"/>
    </row>
    <row r="296" spans="1:5">
      <c r="A296" s="4">
        <v>42522</v>
      </c>
      <c r="B296" s="5">
        <v>397113</v>
      </c>
      <c r="C296" s="5"/>
      <c r="D296" s="5"/>
      <c r="E296" s="5"/>
    </row>
    <row r="297" spans="1:5">
      <c r="A297" s="2">
        <v>42552</v>
      </c>
      <c r="B297" s="3">
        <v>396545</v>
      </c>
      <c r="C297" s="3"/>
      <c r="D297" s="3"/>
      <c r="E297" s="3"/>
    </row>
    <row r="298" spans="1:5">
      <c r="A298" s="4">
        <v>42583</v>
      </c>
      <c r="B298" s="5">
        <v>396293</v>
      </c>
      <c r="C298" s="5"/>
      <c r="D298" s="5"/>
      <c r="E298" s="5"/>
    </row>
    <row r="299" spans="1:5">
      <c r="A299" s="2">
        <v>42614</v>
      </c>
      <c r="B299" s="3">
        <v>398797</v>
      </c>
      <c r="C299" s="3"/>
      <c r="D299" s="3"/>
      <c r="E299" s="3"/>
    </row>
    <row r="300" spans="1:5">
      <c r="A300" s="4">
        <v>42644</v>
      </c>
      <c r="B300" s="5">
        <v>399637</v>
      </c>
      <c r="C300" s="5"/>
      <c r="D300" s="5"/>
      <c r="E300" s="5"/>
    </row>
    <row r="301" spans="1:5">
      <c r="A301" s="2">
        <v>42675</v>
      </c>
      <c r="B301" s="3">
        <v>398680</v>
      </c>
      <c r="C301" s="3"/>
      <c r="D301" s="3"/>
      <c r="E301" s="3"/>
    </row>
    <row r="302" spans="1:5">
      <c r="A302" s="4">
        <v>42705</v>
      </c>
      <c r="B302" s="5">
        <v>405114</v>
      </c>
      <c r="C302" s="5"/>
      <c r="D302" s="5"/>
      <c r="E302" s="5"/>
    </row>
    <row r="303" spans="1:5">
      <c r="A303" s="2">
        <v>42736</v>
      </c>
      <c r="B303" s="3">
        <v>408269</v>
      </c>
      <c r="C303" s="3"/>
      <c r="D303" s="3"/>
      <c r="E303" s="3"/>
    </row>
    <row r="304" spans="1:5">
      <c r="A304" s="4">
        <v>42767</v>
      </c>
      <c r="B304" s="5">
        <v>408155</v>
      </c>
      <c r="C304" s="5"/>
      <c r="D304" s="5"/>
      <c r="E304" s="5"/>
    </row>
    <row r="305" spans="1:5">
      <c r="A305" s="2">
        <v>42795</v>
      </c>
      <c r="B305" s="3">
        <v>407630</v>
      </c>
      <c r="C305" s="3"/>
      <c r="D305" s="3"/>
      <c r="E305" s="3"/>
    </row>
    <row r="306" spans="1:5">
      <c r="A306" s="4">
        <v>42826</v>
      </c>
      <c r="B306" s="5">
        <v>409134</v>
      </c>
      <c r="C306" s="5"/>
      <c r="D306" s="5"/>
      <c r="E306" s="5"/>
    </row>
    <row r="307" spans="1:5">
      <c r="A307" s="2">
        <v>42856</v>
      </c>
      <c r="B307" s="3">
        <v>406609</v>
      </c>
      <c r="C307" s="3"/>
      <c r="D307" s="3"/>
      <c r="E307" s="3"/>
    </row>
    <row r="308" spans="1:5">
      <c r="A308" s="4">
        <v>42887</v>
      </c>
      <c r="B308" s="5">
        <v>409067</v>
      </c>
      <c r="C308" s="5"/>
      <c r="D308" s="5"/>
      <c r="E308" s="5"/>
    </row>
    <row r="309" spans="1:5">
      <c r="A309" s="2">
        <v>42917</v>
      </c>
      <c r="B309" s="3">
        <v>409113</v>
      </c>
      <c r="C309" s="3"/>
      <c r="D309" s="3"/>
      <c r="E309" s="3"/>
    </row>
    <row r="310" spans="1:5">
      <c r="A310" s="4">
        <v>42948</v>
      </c>
      <c r="B310" s="5">
        <v>409606</v>
      </c>
      <c r="C310" s="5"/>
      <c r="D310" s="5"/>
      <c r="E310" s="5"/>
    </row>
    <row r="311" spans="1:5">
      <c r="A311" s="2">
        <v>42979</v>
      </c>
      <c r="B311" s="3">
        <v>419021</v>
      </c>
      <c r="C311" s="3"/>
      <c r="D311" s="3"/>
      <c r="E311" s="3"/>
    </row>
    <row r="312" spans="1:5">
      <c r="A312" s="4">
        <v>43009</v>
      </c>
      <c r="B312" s="5">
        <v>418999</v>
      </c>
      <c r="C312" s="5"/>
      <c r="D312" s="5"/>
      <c r="E312" s="5"/>
    </row>
    <row r="313" spans="1:5">
      <c r="A313" s="2">
        <v>43040</v>
      </c>
      <c r="B313" s="3">
        <v>423224</v>
      </c>
      <c r="C313" s="3"/>
      <c r="D313" s="3"/>
      <c r="E313" s="3"/>
    </row>
    <row r="314" spans="1:5">
      <c r="A314" s="4">
        <v>43070</v>
      </c>
      <c r="B314" s="5">
        <v>425545</v>
      </c>
      <c r="C314" s="5"/>
      <c r="D314" s="5"/>
      <c r="E314" s="5"/>
    </row>
    <row r="315" spans="1:5">
      <c r="A315" s="2">
        <v>43101</v>
      </c>
      <c r="B315" s="3">
        <v>423202</v>
      </c>
      <c r="C315" s="3"/>
      <c r="D315" s="3"/>
      <c r="E315" s="3"/>
    </row>
    <row r="316" spans="1:5">
      <c r="A316" s="4">
        <v>43132</v>
      </c>
      <c r="B316" s="5">
        <v>425507</v>
      </c>
      <c r="C316" s="5"/>
      <c r="D316" s="5"/>
      <c r="E316" s="5"/>
    </row>
    <row r="317" spans="1:5">
      <c r="A317" s="2">
        <v>43160</v>
      </c>
      <c r="B317" s="3">
        <v>425087</v>
      </c>
      <c r="C317" s="3"/>
      <c r="D317" s="3"/>
      <c r="E317" s="3"/>
    </row>
    <row r="318" spans="1:5">
      <c r="A318" s="4">
        <v>43191</v>
      </c>
      <c r="B318" s="5">
        <v>425899</v>
      </c>
      <c r="C318" s="5"/>
      <c r="D318" s="5"/>
      <c r="E318" s="5"/>
    </row>
    <row r="319" spans="1:5">
      <c r="A319" s="2">
        <v>43221</v>
      </c>
      <c r="B319" s="3">
        <v>432340</v>
      </c>
      <c r="C319" s="3"/>
      <c r="D319" s="3"/>
      <c r="E319" s="3"/>
    </row>
    <row r="320" spans="1:5">
      <c r="A320" s="4">
        <v>43252</v>
      </c>
      <c r="B320" s="5">
        <v>430008</v>
      </c>
      <c r="C320" s="5"/>
      <c r="D320" s="5"/>
      <c r="E320" s="5"/>
    </row>
    <row r="321" spans="1:5">
      <c r="A321" s="2">
        <v>43282</v>
      </c>
      <c r="B321" s="3">
        <v>432070</v>
      </c>
      <c r="C321" s="3"/>
      <c r="D321" s="3"/>
      <c r="E321" s="3"/>
    </row>
    <row r="322" spans="1:5">
      <c r="A322" s="4">
        <v>43313</v>
      </c>
      <c r="B322" s="5">
        <v>432031</v>
      </c>
      <c r="C322" s="5"/>
      <c r="D322" s="5"/>
      <c r="E322" s="5"/>
    </row>
    <row r="323" spans="1:5">
      <c r="A323" s="2">
        <v>43344</v>
      </c>
      <c r="B323" s="3">
        <v>431438</v>
      </c>
      <c r="C323" s="3"/>
      <c r="D323" s="3"/>
      <c r="E323" s="3"/>
    </row>
    <row r="324" spans="1:5">
      <c r="A324" s="4">
        <v>43374</v>
      </c>
      <c r="B324" s="5">
        <v>435894</v>
      </c>
      <c r="C324" s="5"/>
      <c r="D324" s="5"/>
      <c r="E324" s="5"/>
    </row>
    <row r="325" spans="1:5">
      <c r="A325" s="2">
        <v>43405</v>
      </c>
      <c r="B325" s="3">
        <v>438612</v>
      </c>
      <c r="C325" s="3"/>
      <c r="D325" s="3"/>
      <c r="E325" s="3"/>
    </row>
    <row r="326" spans="1:5">
      <c r="A326" s="4">
        <v>43435</v>
      </c>
      <c r="B326" s="5">
        <v>428932</v>
      </c>
      <c r="C326" s="5"/>
      <c r="D326" s="5"/>
      <c r="E326" s="5"/>
    </row>
    <row r="327" spans="1:5">
      <c r="A327" s="2">
        <v>43466</v>
      </c>
      <c r="B327" s="3">
        <v>430246</v>
      </c>
      <c r="C327" s="3"/>
      <c r="D327" s="3"/>
      <c r="E327" s="3"/>
    </row>
    <row r="328" spans="1:5">
      <c r="A328" s="4">
        <v>43497</v>
      </c>
      <c r="B328" s="5">
        <v>431194</v>
      </c>
      <c r="C328" s="5"/>
      <c r="D328" s="5"/>
      <c r="E328" s="5"/>
    </row>
    <row r="329" spans="1:5">
      <c r="A329" s="2">
        <v>43525</v>
      </c>
      <c r="B329" s="3">
        <v>438196</v>
      </c>
      <c r="C329" s="3"/>
      <c r="D329" s="3"/>
      <c r="E329" s="3"/>
    </row>
    <row r="330" spans="1:5">
      <c r="A330" s="4">
        <v>43556</v>
      </c>
      <c r="B330" s="5">
        <v>437735</v>
      </c>
      <c r="C330" s="5"/>
      <c r="D330" s="5"/>
      <c r="E330" s="5"/>
    </row>
    <row r="331" spans="1:5">
      <c r="A331" s="2">
        <v>43586</v>
      </c>
      <c r="B331" s="3">
        <v>442514</v>
      </c>
      <c r="C331" s="3"/>
      <c r="D331" s="3"/>
      <c r="E331" s="3"/>
    </row>
    <row r="332" spans="1:5">
      <c r="A332" s="4">
        <v>43617</v>
      </c>
      <c r="B332" s="5">
        <v>442116</v>
      </c>
      <c r="C332" s="5"/>
      <c r="D332" s="5"/>
      <c r="E332" s="5"/>
    </row>
    <row r="333" spans="1:5">
      <c r="A333" s="2">
        <v>43647</v>
      </c>
      <c r="B333" s="3">
        <v>445304</v>
      </c>
      <c r="C333" s="3"/>
      <c r="D333" s="3"/>
      <c r="E333" s="3"/>
    </row>
    <row r="334" spans="1:5">
      <c r="A334" s="4">
        <v>43678</v>
      </c>
      <c r="B334" s="5">
        <v>448519</v>
      </c>
      <c r="C334" s="5"/>
      <c r="D334" s="5"/>
      <c r="E334" s="5"/>
    </row>
    <row r="335" spans="1:5">
      <c r="A335" s="2">
        <v>43709</v>
      </c>
      <c r="B335" s="3">
        <v>444555</v>
      </c>
      <c r="C335" s="3"/>
      <c r="D335" s="3"/>
      <c r="E335" s="3"/>
    </row>
    <row r="336" spans="1:5">
      <c r="A336" s="4">
        <v>43739</v>
      </c>
      <c r="B336" s="5">
        <v>445627</v>
      </c>
      <c r="C336" s="5"/>
      <c r="D336" s="5"/>
      <c r="E336" s="5"/>
    </row>
    <row r="337" spans="1:5">
      <c r="A337" s="2">
        <v>43770</v>
      </c>
      <c r="B337" s="3">
        <v>449040</v>
      </c>
      <c r="C337" s="3"/>
      <c r="D337" s="3"/>
      <c r="E337" s="3"/>
    </row>
    <row r="338" spans="1:5">
      <c r="A338" s="4">
        <v>43800</v>
      </c>
      <c r="B338" s="5">
        <v>449643</v>
      </c>
      <c r="C338" s="5"/>
      <c r="D338" s="5"/>
      <c r="E338" s="5"/>
    </row>
    <row r="339" spans="1:5">
      <c r="A339" s="2">
        <v>43831</v>
      </c>
      <c r="B339" s="3">
        <v>447774</v>
      </c>
      <c r="C339" s="3"/>
      <c r="D339" s="3"/>
      <c r="E339" s="3"/>
    </row>
    <row r="340" spans="1:5">
      <c r="A340" s="4">
        <v>43862</v>
      </c>
      <c r="B340" s="5">
        <v>447972</v>
      </c>
      <c r="C340" s="5"/>
      <c r="D340" s="5"/>
      <c r="E340" s="5"/>
    </row>
    <row r="341" spans="1:5">
      <c r="A341" s="2">
        <v>43891</v>
      </c>
      <c r="B341" s="3">
        <v>420954</v>
      </c>
      <c r="C341" s="3"/>
      <c r="D341" s="3"/>
      <c r="E341" s="3"/>
    </row>
    <row r="342" spans="1:5">
      <c r="A342" s="4">
        <v>43922</v>
      </c>
      <c r="B342" s="5">
        <v>370296</v>
      </c>
      <c r="C342" s="5"/>
      <c r="D342" s="5"/>
      <c r="E342" s="5"/>
    </row>
    <row r="343" spans="1:5">
      <c r="A343" s="2">
        <v>43952</v>
      </c>
      <c r="B343" s="3">
        <v>437957</v>
      </c>
      <c r="C343" s="3"/>
      <c r="D343" s="3"/>
      <c r="E343" s="3"/>
    </row>
    <row r="344" spans="1:5">
      <c r="A344" s="4">
        <v>43983</v>
      </c>
      <c r="B344" s="5">
        <v>465800</v>
      </c>
      <c r="C344" s="5"/>
      <c r="D344" s="5"/>
      <c r="E344" s="5"/>
    </row>
    <row r="345" spans="1:5">
      <c r="A345" s="2">
        <v>44013</v>
      </c>
      <c r="B345" s="3">
        <v>471873</v>
      </c>
      <c r="C345" s="3"/>
      <c r="D345" s="3"/>
      <c r="E345" s="3"/>
    </row>
    <row r="346" spans="1:5">
      <c r="A346" s="4">
        <v>44044</v>
      </c>
      <c r="B346" s="5">
        <v>473696</v>
      </c>
      <c r="C346" s="5"/>
      <c r="D346" s="5"/>
      <c r="E346" s="5"/>
    </row>
    <row r="347" spans="1:5">
      <c r="A347" s="2">
        <v>44075</v>
      </c>
      <c r="B347" s="3">
        <v>482702</v>
      </c>
      <c r="C347" s="3"/>
      <c r="D347" s="3"/>
      <c r="E347" s="3"/>
    </row>
    <row r="348" spans="1:5">
      <c r="A348" s="4">
        <v>44105</v>
      </c>
      <c r="B348" s="5">
        <v>480763</v>
      </c>
      <c r="C348" s="5"/>
      <c r="D348" s="5"/>
      <c r="E348" s="5"/>
    </row>
    <row r="349" spans="1:5">
      <c r="A349" s="2">
        <v>44136</v>
      </c>
      <c r="B349" s="3">
        <v>478079</v>
      </c>
      <c r="C349" s="3"/>
      <c r="D349" s="3"/>
      <c r="E349" s="3"/>
    </row>
    <row r="350" spans="1:5">
      <c r="A350" s="4">
        <v>44166</v>
      </c>
      <c r="B350" s="5">
        <v>485949</v>
      </c>
      <c r="C350" s="5"/>
      <c r="D350" s="5"/>
      <c r="E350" s="5"/>
    </row>
    <row r="351" spans="1:5">
      <c r="A351" s="2">
        <v>44197</v>
      </c>
      <c r="B351" s="3">
        <v>501604</v>
      </c>
      <c r="C351" s="3"/>
      <c r="D351" s="3"/>
      <c r="E351" s="3"/>
    </row>
    <row r="352" spans="1:5">
      <c r="A352" s="4">
        <v>44228</v>
      </c>
      <c r="B352" s="5">
        <v>488805</v>
      </c>
      <c r="C352" s="5"/>
      <c r="D352" s="5"/>
      <c r="E352" s="5"/>
    </row>
    <row r="353" spans="1:5">
      <c r="A353" s="2">
        <v>44256</v>
      </c>
      <c r="B353" s="3">
        <v>539607</v>
      </c>
      <c r="C353" s="3"/>
      <c r="D353" s="3"/>
      <c r="E353" s="3"/>
    </row>
    <row r="354" spans="1:5">
      <c r="A354" s="4">
        <v>44287</v>
      </c>
      <c r="B354" s="5">
        <v>542199</v>
      </c>
      <c r="C354" s="5"/>
      <c r="D354" s="5"/>
      <c r="E354" s="5"/>
    </row>
    <row r="355" spans="1:5">
      <c r="A355" s="2">
        <v>44317</v>
      </c>
      <c r="B355" s="3">
        <v>536589</v>
      </c>
      <c r="C355" s="3"/>
      <c r="D355" s="3"/>
      <c r="E355" s="3"/>
    </row>
    <row r="356" spans="1:5">
      <c r="A356" s="4">
        <v>44348</v>
      </c>
      <c r="B356" s="5">
        <v>540152</v>
      </c>
      <c r="C356" s="5"/>
      <c r="D356" s="5"/>
      <c r="E356" s="5"/>
    </row>
    <row r="357" spans="1:5">
      <c r="A357" s="2">
        <v>44378</v>
      </c>
      <c r="B357" s="3">
        <v>528600</v>
      </c>
      <c r="C357" s="3"/>
      <c r="D357" s="3"/>
      <c r="E357" s="3"/>
    </row>
    <row r="358" spans="1:5">
      <c r="A358" s="4">
        <v>44409</v>
      </c>
      <c r="B358" s="5">
        <v>532477</v>
      </c>
      <c r="C358" s="5"/>
      <c r="D358" s="5"/>
      <c r="E358" s="5"/>
    </row>
    <row r="359" spans="1:5">
      <c r="A359" s="2">
        <v>44440</v>
      </c>
      <c r="B359" s="3">
        <v>536651</v>
      </c>
      <c r="C359" s="3"/>
      <c r="D359" s="3"/>
      <c r="E359" s="3"/>
    </row>
    <row r="360" spans="1:5">
      <c r="A360" s="4">
        <v>44470</v>
      </c>
      <c r="B360" s="5">
        <v>545361</v>
      </c>
      <c r="C360" s="5"/>
      <c r="D360" s="5"/>
      <c r="E360" s="5"/>
    </row>
    <row r="361" spans="1:5">
      <c r="A361" s="2">
        <v>44501</v>
      </c>
      <c r="B361" s="3">
        <v>551082</v>
      </c>
      <c r="C361" s="3"/>
      <c r="D361" s="3"/>
      <c r="E361" s="3"/>
    </row>
    <row r="362" spans="1:5">
      <c r="A362" s="4">
        <v>44531</v>
      </c>
      <c r="B362" s="5">
        <v>547277</v>
      </c>
      <c r="C362" s="5"/>
      <c r="D362" s="5"/>
      <c r="E362" s="5"/>
    </row>
    <row r="363" spans="1:5">
      <c r="A363" s="2">
        <v>44562</v>
      </c>
      <c r="B363" s="3">
        <v>560257</v>
      </c>
      <c r="C363" s="3"/>
      <c r="D363" s="3"/>
      <c r="E363" s="3"/>
    </row>
    <row r="364" spans="1:5">
      <c r="A364" s="4">
        <v>44593</v>
      </c>
      <c r="B364" s="5">
        <v>563777</v>
      </c>
      <c r="C364" s="5"/>
      <c r="D364" s="5"/>
      <c r="E364" s="5"/>
    </row>
    <row r="365" spans="1:5">
      <c r="A365" s="2">
        <v>44621</v>
      </c>
      <c r="B365" s="3">
        <v>574485</v>
      </c>
      <c r="C365" s="3"/>
      <c r="D365" s="3"/>
      <c r="E365" s="3"/>
    </row>
    <row r="366" spans="1:5">
      <c r="A366" s="4">
        <v>44652</v>
      </c>
      <c r="B366" s="5">
        <v>580943</v>
      </c>
      <c r="C366" s="5"/>
      <c r="D366" s="5"/>
      <c r="E366" s="5"/>
    </row>
    <row r="367" spans="1:5">
      <c r="A367" s="2">
        <v>44682</v>
      </c>
      <c r="B367" s="3">
        <v>579844</v>
      </c>
      <c r="C367" s="3"/>
      <c r="D367" s="3"/>
      <c r="E367" s="3"/>
    </row>
    <row r="368" spans="1:5">
      <c r="A368" s="4">
        <v>44713</v>
      </c>
      <c r="B368" s="5">
        <v>585556</v>
      </c>
      <c r="C368" s="5"/>
      <c r="D368" s="5"/>
      <c r="E368" s="5"/>
    </row>
    <row r="369" spans="1:5">
      <c r="A369" s="2">
        <v>44743</v>
      </c>
      <c r="B369" s="3">
        <v>579267</v>
      </c>
      <c r="C369" s="3"/>
      <c r="D369" s="3"/>
      <c r="E369" s="3"/>
    </row>
    <row r="370" spans="1:5">
      <c r="A370" s="4">
        <v>44774</v>
      </c>
      <c r="B370" s="5">
        <v>581196</v>
      </c>
      <c r="C370" s="5"/>
      <c r="D370" s="5"/>
      <c r="E370" s="5"/>
    </row>
    <row r="371" spans="1:5">
      <c r="A371" s="2">
        <v>44805</v>
      </c>
      <c r="B371" s="3">
        <v>579446</v>
      </c>
      <c r="C371" s="3"/>
      <c r="D371" s="3"/>
      <c r="E371" s="3"/>
    </row>
    <row r="372" spans="1:5">
      <c r="A372" s="4">
        <v>44835</v>
      </c>
      <c r="B372" s="5">
        <v>585006</v>
      </c>
      <c r="C372" s="5"/>
      <c r="D372" s="5"/>
      <c r="E372" s="5"/>
    </row>
    <row r="373" spans="1:5">
      <c r="A373" s="2">
        <v>44866</v>
      </c>
      <c r="B373" s="3">
        <v>576356</v>
      </c>
      <c r="C373" s="3"/>
      <c r="D373" s="3"/>
      <c r="E373" s="3"/>
    </row>
    <row r="374" spans="1:5">
      <c r="A374" s="4">
        <v>44896</v>
      </c>
      <c r="B374" s="5">
        <v>569119</v>
      </c>
      <c r="C374" s="5"/>
      <c r="D374" s="5"/>
      <c r="E374" s="5"/>
    </row>
    <row r="375" spans="1:5">
      <c r="A375" s="2">
        <v>44927</v>
      </c>
      <c r="B375" s="3">
        <v>591964</v>
      </c>
      <c r="C375" s="3"/>
      <c r="D375" s="3"/>
      <c r="E375" s="3"/>
    </row>
    <row r="376" spans="1:5">
      <c r="A376" s="4">
        <v>44958</v>
      </c>
      <c r="B376" s="5">
        <v>586165</v>
      </c>
      <c r="C376" s="5"/>
      <c r="D376" s="5"/>
      <c r="E376" s="5"/>
    </row>
    <row r="377" spans="1:5">
      <c r="A377" s="2">
        <v>44986</v>
      </c>
      <c r="B377" s="3">
        <v>578812</v>
      </c>
      <c r="C377" s="3"/>
      <c r="D377" s="3"/>
      <c r="E377" s="3"/>
    </row>
    <row r="378" spans="1:5">
      <c r="A378" s="4">
        <v>45017</v>
      </c>
      <c r="B378" s="5">
        <v>583874</v>
      </c>
      <c r="C378" s="5"/>
      <c r="D378" s="5"/>
      <c r="E378" s="5"/>
    </row>
    <row r="379" spans="1:5">
      <c r="A379" s="2">
        <v>45047</v>
      </c>
      <c r="B379" s="3">
        <v>586286</v>
      </c>
      <c r="C379" s="3"/>
      <c r="D379" s="3"/>
      <c r="E379" s="3"/>
    </row>
    <row r="380" spans="1:5">
      <c r="A380" s="4">
        <v>45078</v>
      </c>
      <c r="B380" s="5">
        <v>588670</v>
      </c>
      <c r="C380" s="5"/>
      <c r="D380" s="5"/>
      <c r="E380" s="5"/>
    </row>
    <row r="381" spans="1:5">
      <c r="A381" s="2">
        <v>45108</v>
      </c>
      <c r="B381" s="3">
        <v>589257</v>
      </c>
      <c r="C381" s="3"/>
      <c r="D381" s="3"/>
      <c r="E381" s="3"/>
    </row>
    <row r="382" spans="1:5">
      <c r="A382" s="4">
        <v>45139</v>
      </c>
      <c r="B382" s="5">
        <v>595191</v>
      </c>
      <c r="C382" s="5"/>
      <c r="D382" s="5"/>
      <c r="E382" s="5"/>
    </row>
    <row r="383" spans="1:5">
      <c r="A383" s="2">
        <v>45170</v>
      </c>
      <c r="B383" s="3">
        <v>598956</v>
      </c>
      <c r="C383" s="3"/>
      <c r="D383" s="3"/>
      <c r="E383" s="3"/>
    </row>
    <row r="384" spans="1:5">
      <c r="A384" s="4">
        <v>45200</v>
      </c>
      <c r="B384" s="5">
        <v>595517</v>
      </c>
      <c r="C384" s="5"/>
      <c r="D384" s="5"/>
      <c r="E384" s="5"/>
    </row>
    <row r="385" spans="1:5">
      <c r="A385" s="2">
        <v>45231</v>
      </c>
      <c r="B385" s="3">
        <v>593567</v>
      </c>
      <c r="C385" s="3"/>
      <c r="D385" s="3"/>
      <c r="E385" s="3"/>
    </row>
    <row r="386" spans="1:5">
      <c r="A386" s="4">
        <v>45261</v>
      </c>
      <c r="B386" s="5">
        <v>594256</v>
      </c>
      <c r="C386" s="5"/>
      <c r="D386" s="5"/>
      <c r="E386" s="5"/>
    </row>
    <row r="387" spans="1:5">
      <c r="A387" s="2">
        <v>45292</v>
      </c>
      <c r="B387" s="3">
        <v>588944</v>
      </c>
      <c r="C387" s="3"/>
      <c r="D387" s="3"/>
      <c r="E387" s="3"/>
    </row>
    <row r="388" spans="1:5">
      <c r="A388" s="4">
        <v>45323</v>
      </c>
      <c r="B388" s="5">
        <v>593206</v>
      </c>
      <c r="C388" s="5"/>
      <c r="D388" s="5"/>
      <c r="E388" s="5"/>
    </row>
    <row r="389" spans="1:5">
      <c r="A389" s="2">
        <v>45352</v>
      </c>
      <c r="B389" s="3">
        <v>595969</v>
      </c>
      <c r="C389" s="3"/>
      <c r="D389" s="3"/>
      <c r="E389" s="3"/>
    </row>
    <row r="390" spans="1:5">
      <c r="A390" s="4">
        <v>45383</v>
      </c>
      <c r="B390" s="5">
        <v>595676</v>
      </c>
      <c r="C390" s="5"/>
      <c r="D390" s="5"/>
      <c r="E390" s="5"/>
    </row>
    <row r="391" spans="1:5">
      <c r="A391" s="2">
        <v>45413</v>
      </c>
      <c r="B391" s="3">
        <v>600372</v>
      </c>
      <c r="C391" s="3"/>
      <c r="D391" s="3"/>
      <c r="E391" s="3"/>
    </row>
    <row r="392" spans="1:5">
      <c r="A392" s="4">
        <v>45444</v>
      </c>
      <c r="B392" s="5">
        <v>599979</v>
      </c>
      <c r="C392" s="5"/>
      <c r="D392" s="5"/>
      <c r="E392" s="5"/>
    </row>
    <row r="393" spans="1:5">
      <c r="A393" s="2">
        <v>45474</v>
      </c>
      <c r="B393" s="3">
        <v>605797</v>
      </c>
      <c r="C393" s="3"/>
      <c r="D393" s="3"/>
      <c r="E393" s="3"/>
    </row>
    <row r="394" spans="1:5">
      <c r="A394" s="4">
        <v>45505</v>
      </c>
      <c r="B394" s="5">
        <v>604173</v>
      </c>
      <c r="C394" s="5"/>
      <c r="D394" s="5"/>
      <c r="E394" s="5"/>
    </row>
    <row r="395" spans="1:5">
      <c r="A395" s="2">
        <v>45536</v>
      </c>
      <c r="B395" s="3">
        <v>608701</v>
      </c>
      <c r="C395" s="3"/>
      <c r="D395" s="3"/>
      <c r="E395" s="3"/>
    </row>
    <row r="396" spans="1:5">
      <c r="A396" s="4">
        <v>45566</v>
      </c>
      <c r="B396" s="5">
        <v>612570</v>
      </c>
      <c r="C396" s="5"/>
      <c r="D396" s="5"/>
      <c r="E396" s="5"/>
    </row>
    <row r="397" spans="1:5">
      <c r="A397" s="2">
        <v>45597</v>
      </c>
      <c r="B397" s="3">
        <v>616833</v>
      </c>
      <c r="C397" s="3"/>
      <c r="D397" s="3"/>
      <c r="E397" s="3"/>
    </row>
    <row r="398" spans="1:5">
      <c r="A398" s="4">
        <v>45627</v>
      </c>
      <c r="B398" s="5">
        <v>622396</v>
      </c>
      <c r="C398" s="5"/>
      <c r="D398" s="5"/>
      <c r="E398" s="5"/>
    </row>
    <row r="399" spans="1:5">
      <c r="A399" s="2">
        <v>45658</v>
      </c>
      <c r="B399" s="3">
        <v>615973</v>
      </c>
      <c r="C399" s="3"/>
      <c r="D399" s="3"/>
      <c r="E399" s="3"/>
    </row>
    <row r="400" spans="1:5">
      <c r="A400" s="4">
        <v>45689</v>
      </c>
      <c r="B400" s="5">
        <v>616714</v>
      </c>
      <c r="C400" s="5"/>
      <c r="D400" s="5"/>
      <c r="E400" s="5"/>
    </row>
    <row r="401" spans="1:5">
      <c r="A401" s="2">
        <v>45717</v>
      </c>
      <c r="B401" s="3">
        <v>625121</v>
      </c>
      <c r="C401" s="3"/>
      <c r="D401" s="3"/>
      <c r="E401" s="3"/>
    </row>
    <row r="402" spans="1:5">
      <c r="A402" s="4">
        <v>45748</v>
      </c>
      <c r="B402" s="5">
        <v>623521</v>
      </c>
      <c r="C402" s="5"/>
      <c r="D402" s="5"/>
      <c r="E402" s="5"/>
    </row>
    <row r="403" spans="1:5">
      <c r="A403" s="2">
        <v>45778</v>
      </c>
      <c r="B403" s="3">
        <v>618037</v>
      </c>
      <c r="C403" s="3"/>
      <c r="D403" s="3"/>
      <c r="E403" s="3"/>
    </row>
    <row r="404" spans="1:5">
      <c r="A404" s="4">
        <v>45809</v>
      </c>
      <c r="B404" s="5">
        <v>623882</v>
      </c>
      <c r="C404" s="5"/>
      <c r="D404" s="5"/>
      <c r="E404" s="5"/>
    </row>
    <row r="405" spans="1:5">
      <c r="A405" s="2">
        <v>45839</v>
      </c>
      <c r="B405" s="3">
        <v>627979</v>
      </c>
      <c r="C405" s="3">
        <v>627979</v>
      </c>
      <c r="D405" s="7">
        <v>627979</v>
      </c>
      <c r="E405" s="7">
        <v>627979</v>
      </c>
    </row>
    <row r="406" spans="1:5">
      <c r="A406" s="4">
        <v>45870</v>
      </c>
      <c r="B406" s="5"/>
      <c r="C406" s="5">
        <f t="shared" ref="C406:C437" si="0">_xlfn.FORECAST.ETS(A406,$B$3:$B$405,$A$3:$A$405,1,1)</f>
        <v>629045.49458032544</v>
      </c>
      <c r="D406" s="8">
        <f t="shared" ref="D406:D437" si="1">C406-_xlfn.FORECAST.ETS.CONFINT(A406,$B$3:$B$405,$A$3:$A$405,0.95,1,1)</f>
        <v>613960.89339114306</v>
      </c>
      <c r="E406" s="8">
        <f t="shared" ref="E406:E437" si="2">C406+_xlfn.FORECAST.ETS.CONFINT(A406,$B$3:$B$405,$A$3:$A$405,0.95,1,1)</f>
        <v>644130.09576950781</v>
      </c>
    </row>
    <row r="407" spans="1:5">
      <c r="A407" s="2">
        <v>45901</v>
      </c>
      <c r="B407" s="3"/>
      <c r="C407" s="3">
        <f t="shared" si="0"/>
        <v>630111.98916065076</v>
      </c>
      <c r="D407" s="7">
        <f t="shared" si="1"/>
        <v>608789.80533177231</v>
      </c>
      <c r="E407" s="7">
        <f t="shared" si="2"/>
        <v>651434.17298952921</v>
      </c>
    </row>
    <row r="408" spans="1:5">
      <c r="A408" s="4">
        <v>45931</v>
      </c>
      <c r="B408" s="5"/>
      <c r="C408" s="5">
        <f t="shared" si="0"/>
        <v>631178.4837409762</v>
      </c>
      <c r="D408" s="8">
        <f t="shared" si="1"/>
        <v>605059.89426395483</v>
      </c>
      <c r="E408" s="8">
        <f t="shared" si="2"/>
        <v>657297.07321799756</v>
      </c>
    </row>
    <row r="409" spans="1:5">
      <c r="A409" s="2">
        <v>45962</v>
      </c>
      <c r="B409" s="3"/>
      <c r="C409" s="3">
        <f t="shared" si="0"/>
        <v>632244.97832130163</v>
      </c>
      <c r="D409" s="7">
        <f t="shared" si="1"/>
        <v>602075.76840063708</v>
      </c>
      <c r="E409" s="7">
        <f t="shared" si="2"/>
        <v>662414.18824196619</v>
      </c>
    </row>
    <row r="410" spans="1:5">
      <c r="A410" s="4">
        <v>45992</v>
      </c>
      <c r="B410" s="5"/>
      <c r="C410" s="5">
        <f t="shared" si="0"/>
        <v>633311.47290162707</v>
      </c>
      <c r="D410" s="8">
        <f t="shared" si="1"/>
        <v>599567.76961898897</v>
      </c>
      <c r="E410" s="8">
        <f t="shared" si="2"/>
        <v>667055.17618426518</v>
      </c>
    </row>
    <row r="411" spans="1:5">
      <c r="A411" s="2">
        <v>46023</v>
      </c>
      <c r="B411" s="3"/>
      <c r="C411" s="3">
        <f t="shared" si="0"/>
        <v>634377.96748195239</v>
      </c>
      <c r="D411" s="7">
        <f t="shared" si="1"/>
        <v>597397.56695236964</v>
      </c>
      <c r="E411" s="7">
        <f t="shared" si="2"/>
        <v>671358.36801153515</v>
      </c>
    </row>
    <row r="412" spans="1:5">
      <c r="A412" s="4">
        <v>46054</v>
      </c>
      <c r="B412" s="5"/>
      <c r="C412" s="5">
        <f t="shared" si="0"/>
        <v>635444.46206227783</v>
      </c>
      <c r="D412" s="8">
        <f t="shared" si="1"/>
        <v>595482.99038476788</v>
      </c>
      <c r="E412" s="8">
        <f t="shared" si="2"/>
        <v>675405.93373978778</v>
      </c>
    </row>
    <row r="413" spans="1:5">
      <c r="A413" s="2">
        <v>46082</v>
      </c>
      <c r="B413" s="3"/>
      <c r="C413" s="3">
        <f t="shared" si="0"/>
        <v>636510.95664260327</v>
      </c>
      <c r="D413" s="7">
        <f t="shared" si="1"/>
        <v>593770.51265532919</v>
      </c>
      <c r="E413" s="7">
        <f t="shared" si="2"/>
        <v>679251.40062987735</v>
      </c>
    </row>
    <row r="414" spans="1:5">
      <c r="A414" s="4">
        <v>46113</v>
      </c>
      <c r="B414" s="5"/>
      <c r="C414" s="5">
        <f t="shared" si="0"/>
        <v>637577.45122292871</v>
      </c>
      <c r="D414" s="8">
        <f t="shared" si="1"/>
        <v>592222.96435327735</v>
      </c>
      <c r="E414" s="8">
        <f t="shared" si="2"/>
        <v>682931.93809258007</v>
      </c>
    </row>
    <row r="415" spans="1:5">
      <c r="A415" s="2">
        <v>46143</v>
      </c>
      <c r="B415" s="3"/>
      <c r="C415" s="3">
        <f t="shared" si="0"/>
        <v>638643.94580325403</v>
      </c>
      <c r="D415" s="7">
        <f t="shared" si="1"/>
        <v>590813.29188065918</v>
      </c>
      <c r="E415" s="7">
        <f t="shared" si="2"/>
        <v>686474.59972584888</v>
      </c>
    </row>
    <row r="416" spans="1:5">
      <c r="A416" s="4">
        <v>46174</v>
      </c>
      <c r="B416" s="5"/>
      <c r="C416" s="5">
        <f t="shared" si="0"/>
        <v>639710.44038357947</v>
      </c>
      <c r="D416" s="8">
        <f t="shared" si="1"/>
        <v>589521.079621754</v>
      </c>
      <c r="E416" s="8">
        <f t="shared" si="2"/>
        <v>689899.80114540493</v>
      </c>
    </row>
    <row r="417" spans="1:5">
      <c r="A417" s="2">
        <v>46204</v>
      </c>
      <c r="B417" s="3"/>
      <c r="C417" s="3">
        <f t="shared" si="0"/>
        <v>640776.9349639049</v>
      </c>
      <c r="D417" s="7">
        <f t="shared" si="1"/>
        <v>588330.47301123699</v>
      </c>
      <c r="E417" s="7">
        <f t="shared" si="2"/>
        <v>693223.39691657282</v>
      </c>
    </row>
    <row r="418" spans="1:5">
      <c r="A418" s="4">
        <v>46235</v>
      </c>
      <c r="B418" s="5"/>
      <c r="C418" s="5">
        <f t="shared" si="0"/>
        <v>641843.42954423034</v>
      </c>
      <c r="D418" s="8">
        <f t="shared" si="1"/>
        <v>587228.86900613422</v>
      </c>
      <c r="E418" s="8">
        <f t="shared" si="2"/>
        <v>696457.99008232646</v>
      </c>
    </row>
    <row r="419" spans="1:5">
      <c r="A419" s="2">
        <v>46266</v>
      </c>
      <c r="B419" s="3"/>
      <c r="C419" s="3">
        <f t="shared" si="0"/>
        <v>642909.92412455566</v>
      </c>
      <c r="D419" s="7">
        <f t="shared" si="1"/>
        <v>586206.05350692314</v>
      </c>
      <c r="E419" s="7">
        <f t="shared" si="2"/>
        <v>699613.79474218818</v>
      </c>
    </row>
    <row r="420" spans="1:5">
      <c r="A420" s="4">
        <v>46296</v>
      </c>
      <c r="B420" s="5"/>
      <c r="C420" s="5">
        <f t="shared" si="0"/>
        <v>643976.4187048811</v>
      </c>
      <c r="D420" s="8">
        <f t="shared" si="1"/>
        <v>585253.61234143679</v>
      </c>
      <c r="E420" s="8">
        <f t="shared" si="2"/>
        <v>702699.22506832541</v>
      </c>
    </row>
    <row r="421" spans="1:5">
      <c r="A421" s="2">
        <v>46327</v>
      </c>
      <c r="B421" s="3"/>
      <c r="C421" s="3">
        <f t="shared" si="0"/>
        <v>645042.91328520654</v>
      </c>
      <c r="D421" s="7">
        <f t="shared" si="1"/>
        <v>584364.51671450073</v>
      </c>
      <c r="E421" s="7">
        <f t="shared" si="2"/>
        <v>705721.30985591235</v>
      </c>
    </row>
    <row r="422" spans="1:5">
      <c r="A422" s="4">
        <v>46357</v>
      </c>
      <c r="B422" s="5"/>
      <c r="C422" s="5">
        <f t="shared" si="0"/>
        <v>646109.40786553198</v>
      </c>
      <c r="D422" s="8">
        <f t="shared" si="1"/>
        <v>583532.82384489861</v>
      </c>
      <c r="E422" s="8">
        <f t="shared" si="2"/>
        <v>708685.99188616534</v>
      </c>
    </row>
    <row r="423" spans="1:5">
      <c r="A423" s="2">
        <v>46388</v>
      </c>
      <c r="B423" s="3"/>
      <c r="C423" s="3">
        <f t="shared" si="0"/>
        <v>647175.9024458573</v>
      </c>
      <c r="D423" s="7">
        <f t="shared" si="1"/>
        <v>582753.45593699208</v>
      </c>
      <c r="E423" s="7">
        <f t="shared" si="2"/>
        <v>711598.34895472252</v>
      </c>
    </row>
    <row r="424" spans="1:5">
      <c r="A424" s="4">
        <v>46419</v>
      </c>
      <c r="B424" s="5"/>
      <c r="C424" s="5">
        <f t="shared" si="0"/>
        <v>648242.39702618273</v>
      </c>
      <c r="D424" s="8">
        <f t="shared" si="1"/>
        <v>582022.03380631749</v>
      </c>
      <c r="E424" s="8">
        <f t="shared" si="2"/>
        <v>714462.76024604798</v>
      </c>
    </row>
    <row r="425" spans="1:5">
      <c r="A425" s="2">
        <v>46447</v>
      </c>
      <c r="B425" s="3"/>
      <c r="C425" s="3">
        <f t="shared" si="0"/>
        <v>649308.89160650817</v>
      </c>
      <c r="D425" s="7">
        <f t="shared" si="1"/>
        <v>581334.74949988362</v>
      </c>
      <c r="E425" s="7">
        <f t="shared" si="2"/>
        <v>717283.03371313273</v>
      </c>
    </row>
    <row r="426" spans="1:5">
      <c r="A426" s="4">
        <v>46478</v>
      </c>
      <c r="B426" s="5"/>
      <c r="C426" s="5">
        <f t="shared" si="0"/>
        <v>650375.38618683361</v>
      </c>
      <c r="D426" s="8">
        <f t="shared" si="1"/>
        <v>580688.26729273563</v>
      </c>
      <c r="E426" s="8">
        <f t="shared" si="2"/>
        <v>720062.50508093159</v>
      </c>
    </row>
    <row r="427" spans="1:5">
      <c r="A427" s="2">
        <v>46508</v>
      </c>
      <c r="B427" s="3"/>
      <c r="C427" s="3">
        <f t="shared" si="0"/>
        <v>651441.88076715893</v>
      </c>
      <c r="D427" s="7">
        <f t="shared" si="1"/>
        <v>580079.64569883374</v>
      </c>
      <c r="E427" s="7">
        <f t="shared" si="2"/>
        <v>722804.11583548412</v>
      </c>
    </row>
    <row r="428" spans="1:5">
      <c r="A428" s="4">
        <v>46539</v>
      </c>
      <c r="B428" s="5"/>
      <c r="C428" s="5">
        <f t="shared" si="0"/>
        <v>652508.37534748437</v>
      </c>
      <c r="D428" s="8">
        <f t="shared" si="1"/>
        <v>579506.2752901417</v>
      </c>
      <c r="E428" s="8">
        <f t="shared" si="2"/>
        <v>725510.47540482704</v>
      </c>
    </row>
    <row r="429" spans="1:5">
      <c r="A429" s="2">
        <v>46569</v>
      </c>
      <c r="B429" s="3"/>
      <c r="C429" s="3">
        <f t="shared" si="0"/>
        <v>653574.86992780981</v>
      </c>
      <c r="D429" s="7">
        <f t="shared" si="1"/>
        <v>578965.82857653243</v>
      </c>
      <c r="E429" s="7">
        <f t="shared" si="2"/>
        <v>728183.91127908719</v>
      </c>
    </row>
    <row r="430" spans="1:5">
      <c r="A430" s="4">
        <v>46600</v>
      </c>
      <c r="B430" s="5"/>
      <c r="C430" s="5">
        <f t="shared" si="0"/>
        <v>654641.36450813524</v>
      </c>
      <c r="D430" s="8">
        <f t="shared" si="1"/>
        <v>578456.21920565283</v>
      </c>
      <c r="E430" s="8">
        <f t="shared" si="2"/>
        <v>730826.50981061766</v>
      </c>
    </row>
    <row r="431" spans="1:5">
      <c r="A431" s="2">
        <v>46631</v>
      </c>
      <c r="B431" s="3"/>
      <c r="C431" s="3">
        <f t="shared" si="0"/>
        <v>655707.85908846057</v>
      </c>
      <c r="D431" s="7">
        <f t="shared" si="1"/>
        <v>577975.56844883098</v>
      </c>
      <c r="E431" s="7">
        <f t="shared" si="2"/>
        <v>733440.14972809015</v>
      </c>
    </row>
    <row r="432" spans="1:5">
      <c r="A432" s="4">
        <v>46661</v>
      </c>
      <c r="B432" s="5"/>
      <c r="C432" s="5">
        <f t="shared" si="0"/>
        <v>656774.353668786</v>
      </c>
      <c r="D432" s="8">
        <f t="shared" si="1"/>
        <v>577522.17744366603</v>
      </c>
      <c r="E432" s="8">
        <f t="shared" si="2"/>
        <v>736026.52989390597</v>
      </c>
    </row>
    <row r="433" spans="1:5">
      <c r="A433" s="2">
        <v>46692</v>
      </c>
      <c r="B433" s="3"/>
      <c r="C433" s="3">
        <f t="shared" si="0"/>
        <v>657840.84824911144</v>
      </c>
      <c r="D433" s="7">
        <f t="shared" si="1"/>
        <v>577094.50402937829</v>
      </c>
      <c r="E433" s="7">
        <f t="shared" si="2"/>
        <v>738587.19246884459</v>
      </c>
    </row>
    <row r="434" spans="1:5">
      <c r="A434" s="4">
        <v>46722</v>
      </c>
      <c r="B434" s="5"/>
      <c r="C434" s="5">
        <f t="shared" si="0"/>
        <v>658907.34282943688</v>
      </c>
      <c r="D434" s="8">
        <f t="shared" si="1"/>
        <v>576691.14327924652</v>
      </c>
      <c r="E434" s="8">
        <f t="shared" si="2"/>
        <v>741123.54237962724</v>
      </c>
    </row>
    <row r="435" spans="1:5">
      <c r="A435" s="2">
        <v>46753</v>
      </c>
      <c r="B435" s="3"/>
      <c r="C435" s="3">
        <f t="shared" si="0"/>
        <v>659973.8374097622</v>
      </c>
      <c r="D435" s="7">
        <f t="shared" si="1"/>
        <v>576310.81103381095</v>
      </c>
      <c r="E435" s="7">
        <f t="shared" si="2"/>
        <v>743636.86378571345</v>
      </c>
    </row>
    <row r="436" spans="1:5">
      <c r="A436" s="4">
        <v>46784</v>
      </c>
      <c r="B436" s="5"/>
      <c r="C436" s="5">
        <f t="shared" si="0"/>
        <v>661040.33199008764</v>
      </c>
      <c r="D436" s="8">
        <f t="shared" si="1"/>
        <v>575952.3298883742</v>
      </c>
      <c r="E436" s="8">
        <f t="shared" si="2"/>
        <v>746128.33409180108</v>
      </c>
    </row>
    <row r="437" spans="1:5">
      <c r="A437" s="2">
        <v>46813</v>
      </c>
      <c r="B437" s="3"/>
      <c r="C437" s="3">
        <f t="shared" si="0"/>
        <v>662106.82657041308</v>
      </c>
      <c r="D437" s="7">
        <f t="shared" si="1"/>
        <v>575614.61720216216</v>
      </c>
      <c r="E437" s="7">
        <f t="shared" si="2"/>
        <v>748599.03593866399</v>
      </c>
    </row>
    <row r="438" spans="1:5">
      <c r="A438" s="4">
        <v>46844</v>
      </c>
      <c r="B438" s="5"/>
      <c r="C438" s="5">
        <f t="shared" ref="C438:C469" si="3">_xlfn.FORECAST.ETS(A438,$B$3:$B$405,$A$3:$A$405,1,1)</f>
        <v>663173.32115073851</v>
      </c>
      <c r="D438" s="8">
        <f t="shared" ref="D438:D469" si="4">C438-_xlfn.FORECAST.ETS.CONFINT(A438,$B$3:$B$405,$A$3:$A$405,0.95,1,1)</f>
        <v>575296.67478383414</v>
      </c>
      <c r="E438" s="8">
        <f t="shared" ref="E438:E469" si="5">C438+_xlfn.FORECAST.ETS.CONFINT(A438,$B$3:$B$405,$A$3:$A$405,0.95,1,1)</f>
        <v>751049.96751764289</v>
      </c>
    </row>
    <row r="439" spans="1:5">
      <c r="A439" s="2">
        <v>46874</v>
      </c>
      <c r="B439" s="3"/>
      <c r="C439" s="3">
        <f t="shared" si="3"/>
        <v>664239.81573106383</v>
      </c>
      <c r="D439" s="7">
        <f t="shared" si="4"/>
        <v>574997.57997562434</v>
      </c>
      <c r="E439" s="7">
        <f t="shared" si="5"/>
        <v>753482.05148650333</v>
      </c>
    </row>
    <row r="440" spans="1:5">
      <c r="A440" s="4">
        <v>46905</v>
      </c>
      <c r="B440" s="5"/>
      <c r="C440" s="5">
        <f t="shared" si="3"/>
        <v>665306.31031138927</v>
      </c>
      <c r="D440" s="8">
        <f t="shared" si="4"/>
        <v>574716.4779111793</v>
      </c>
      <c r="E440" s="8">
        <f t="shared" si="5"/>
        <v>755896.14271159924</v>
      </c>
    </row>
    <row r="441" spans="1:5">
      <c r="A441" s="2">
        <v>46935</v>
      </c>
      <c r="B441" s="3"/>
      <c r="C441" s="3">
        <f t="shared" si="3"/>
        <v>666372.80489171471</v>
      </c>
      <c r="D441" s="7">
        <f t="shared" si="4"/>
        <v>574452.57476368221</v>
      </c>
      <c r="E441" s="7">
        <f t="shared" si="5"/>
        <v>758293.03501974721</v>
      </c>
    </row>
    <row r="442" spans="1:5">
      <c r="A442" s="4">
        <v>46966</v>
      </c>
      <c r="B442" s="5"/>
      <c r="C442" s="5">
        <f t="shared" si="3"/>
        <v>667439.29947204015</v>
      </c>
      <c r="D442" s="8">
        <f t="shared" si="4"/>
        <v>574205.1318337929</v>
      </c>
      <c r="E442" s="8">
        <f t="shared" si="5"/>
        <v>760673.4671102874</v>
      </c>
    </row>
    <row r="443" spans="1:5">
      <c r="A443" s="2">
        <v>46997</v>
      </c>
      <c r="B443" s="3"/>
      <c r="C443" s="3">
        <f t="shared" si="3"/>
        <v>668505.79405236547</v>
      </c>
      <c r="D443" s="7">
        <f t="shared" si="4"/>
        <v>573973.46035321523</v>
      </c>
      <c r="E443" s="7">
        <f t="shared" si="5"/>
        <v>763038.12775151571</v>
      </c>
    </row>
    <row r="444" spans="1:5">
      <c r="A444" s="4">
        <v>47027</v>
      </c>
      <c r="B444" s="5"/>
      <c r="C444" s="5">
        <f t="shared" si="3"/>
        <v>669572.28863269091</v>
      </c>
      <c r="D444" s="8">
        <f t="shared" si="4"/>
        <v>573756.91690083873</v>
      </c>
      <c r="E444" s="8">
        <f t="shared" si="5"/>
        <v>765387.66036454309</v>
      </c>
    </row>
    <row r="445" spans="1:5">
      <c r="A445" s="2">
        <v>47058</v>
      </c>
      <c r="B445" s="3"/>
      <c r="C445" s="3">
        <f t="shared" si="3"/>
        <v>670638.78321301634</v>
      </c>
      <c r="D445" s="7">
        <f t="shared" si="4"/>
        <v>573554.89934548829</v>
      </c>
      <c r="E445" s="7">
        <f t="shared" si="5"/>
        <v>767722.6670805444</v>
      </c>
    </row>
    <row r="446" spans="1:5">
      <c r="A446" s="4">
        <v>47088</v>
      </c>
      <c r="B446" s="5"/>
      <c r="C446" s="5">
        <f t="shared" si="3"/>
        <v>671705.27779334178</v>
      </c>
      <c r="D446" s="8">
        <f t="shared" si="4"/>
        <v>573366.84324321337</v>
      </c>
      <c r="E446" s="8">
        <f t="shared" si="5"/>
        <v>770043.71234347019</v>
      </c>
    </row>
    <row r="447" spans="1:5">
      <c r="A447" s="2">
        <v>47119</v>
      </c>
      <c r="B447" s="3"/>
      <c r="C447" s="3">
        <f t="shared" si="3"/>
        <v>672771.7723736671</v>
      </c>
      <c r="D447" s="7">
        <f t="shared" si="4"/>
        <v>573192.21862842259</v>
      </c>
      <c r="E447" s="7">
        <f t="shared" si="5"/>
        <v>772351.32611891162</v>
      </c>
    </row>
    <row r="448" spans="1:5">
      <c r="A448" s="4">
        <v>47150</v>
      </c>
      <c r="B448" s="5"/>
      <c r="C448" s="5">
        <f t="shared" si="3"/>
        <v>673838.26695399254</v>
      </c>
      <c r="D448" s="8">
        <f t="shared" si="4"/>
        <v>573030.52714751475</v>
      </c>
      <c r="E448" s="8">
        <f t="shared" si="5"/>
        <v>774646.00676047034</v>
      </c>
    </row>
    <row r="449" spans="1:5">
      <c r="A449" s="2">
        <v>47178</v>
      </c>
      <c r="B449" s="3"/>
      <c r="C449" s="3">
        <f t="shared" si="3"/>
        <v>674904.76153431798</v>
      </c>
      <c r="D449" s="7">
        <f t="shared" si="4"/>
        <v>572881.29949138535</v>
      </c>
      <c r="E449" s="7">
        <f t="shared" si="5"/>
        <v>776928.22357725061</v>
      </c>
    </row>
    <row r="450" spans="1:5">
      <c r="A450" s="4">
        <v>47209</v>
      </c>
      <c r="B450" s="5"/>
      <c r="C450" s="5">
        <f t="shared" si="3"/>
        <v>675971.2561146433</v>
      </c>
      <c r="D450" s="8">
        <f t="shared" si="4"/>
        <v>572744.09308960428</v>
      </c>
      <c r="E450" s="8">
        <f t="shared" si="5"/>
        <v>779198.41913968232</v>
      </c>
    </row>
    <row r="451" spans="1:5">
      <c r="A451" s="2">
        <v>47239</v>
      </c>
      <c r="B451" s="3"/>
      <c r="C451" s="3">
        <f t="shared" si="3"/>
        <v>677037.75069496874</v>
      </c>
      <c r="D451" s="7">
        <f t="shared" si="4"/>
        <v>572618.4900344098</v>
      </c>
      <c r="E451" s="7">
        <f t="shared" si="5"/>
        <v>781457.01135552768</v>
      </c>
    </row>
    <row r="452" spans="1:5">
      <c r="A452" s="4">
        <v>47270</v>
      </c>
      <c r="B452" s="5"/>
      <c r="C452" s="5">
        <f t="shared" si="3"/>
        <v>678104.24527529418</v>
      </c>
      <c r="D452" s="8">
        <f t="shared" si="4"/>
        <v>572504.09520714614</v>
      </c>
      <c r="E452" s="8">
        <f t="shared" si="5"/>
        <v>783704.39534344221</v>
      </c>
    </row>
    <row r="453" spans="1:5">
      <c r="A453" s="2">
        <v>47300</v>
      </c>
      <c r="B453" s="3"/>
      <c r="C453" s="3">
        <f t="shared" si="3"/>
        <v>679170.73985561961</v>
      </c>
      <c r="D453" s="7">
        <f t="shared" si="4"/>
        <v>572400.53458354354</v>
      </c>
      <c r="E453" s="7">
        <f t="shared" si="5"/>
        <v>785940.94512769568</v>
      </c>
    </row>
    <row r="454" spans="1:5">
      <c r="A454" s="4">
        <v>47331</v>
      </c>
      <c r="B454" s="5"/>
      <c r="C454" s="5">
        <f t="shared" si="3"/>
        <v>680237.23443594493</v>
      </c>
      <c r="D454" s="8">
        <f t="shared" si="4"/>
        <v>572307.45369742124</v>
      </c>
      <c r="E454" s="8">
        <f t="shared" si="5"/>
        <v>788167.01517446863</v>
      </c>
    </row>
    <row r="455" spans="1:5">
      <c r="A455" s="2">
        <v>47362</v>
      </c>
      <c r="B455" s="3"/>
      <c r="C455" s="3">
        <f t="shared" si="3"/>
        <v>681303.72901627037</v>
      </c>
      <c r="D455" s="7">
        <f t="shared" si="4"/>
        <v>572224.51624509506</v>
      </c>
      <c r="E455" s="7">
        <f t="shared" si="5"/>
        <v>790382.94178744568</v>
      </c>
    </row>
    <row r="456" spans="1:5">
      <c r="A456" s="4">
        <v>47392</v>
      </c>
      <c r="B456" s="5"/>
      <c r="C456" s="5">
        <f t="shared" si="3"/>
        <v>682370.22359659581</v>
      </c>
      <c r="D456" s="8">
        <f t="shared" si="4"/>
        <v>572151.40281505999</v>
      </c>
      <c r="E456" s="8">
        <f t="shared" si="5"/>
        <v>792589.04437813163</v>
      </c>
    </row>
    <row r="457" spans="1:5">
      <c r="A457" s="2">
        <v>47423</v>
      </c>
      <c r="B457" s="3"/>
      <c r="C457" s="3">
        <f t="shared" si="3"/>
        <v>683436.71817692125</v>
      </c>
      <c r="D457" s="7">
        <f t="shared" si="4"/>
        <v>572087.80972948717</v>
      </c>
      <c r="E457" s="7">
        <f t="shared" si="5"/>
        <v>794785.62662435533</v>
      </c>
    </row>
    <row r="458" spans="1:5">
      <c r="A458" s="4">
        <v>47453</v>
      </c>
      <c r="B458" s="5"/>
      <c r="C458" s="5">
        <f t="shared" si="3"/>
        <v>684503.21275724657</v>
      </c>
      <c r="D458" s="8">
        <f t="shared" si="4"/>
        <v>572033.44798574003</v>
      </c>
      <c r="E458" s="8">
        <f t="shared" si="5"/>
        <v>796972.97752875311</v>
      </c>
    </row>
    <row r="459" spans="1:5">
      <c r="A459" s="2">
        <v>47484</v>
      </c>
      <c r="B459" s="3"/>
      <c r="C459" s="3">
        <f t="shared" si="3"/>
        <v>685569.70733757201</v>
      </c>
      <c r="D459" s="7">
        <f t="shared" si="4"/>
        <v>571988.04228756705</v>
      </c>
      <c r="E459" s="7">
        <f t="shared" si="5"/>
        <v>799151.37238757696</v>
      </c>
    </row>
    <row r="460" spans="1:5">
      <c r="A460" s="4">
        <v>47515</v>
      </c>
      <c r="B460" s="5"/>
      <c r="C460" s="5">
        <f t="shared" si="3"/>
        <v>686636.20191789744</v>
      </c>
      <c r="D460" s="8">
        <f t="shared" si="4"/>
        <v>571951.33015685831</v>
      </c>
      <c r="E460" s="8">
        <f t="shared" si="5"/>
        <v>801321.07367893658</v>
      </c>
    </row>
    <row r="461" spans="1:5">
      <c r="A461" s="2">
        <v>47543</v>
      </c>
      <c r="B461" s="3"/>
      <c r="C461" s="3">
        <f t="shared" si="3"/>
        <v>687702.69649822288</v>
      </c>
      <c r="D461" s="7">
        <f t="shared" si="4"/>
        <v>571923.06111793756</v>
      </c>
      <c r="E461" s="7">
        <f t="shared" si="5"/>
        <v>803482.33187850821</v>
      </c>
    </row>
    <row r="462" spans="1:5">
      <c r="A462" s="4">
        <v>47574</v>
      </c>
      <c r="B462" s="5"/>
      <c r="C462" s="5">
        <f t="shared" si="3"/>
        <v>688769.1910785482</v>
      </c>
      <c r="D462" s="8">
        <f t="shared" si="4"/>
        <v>571902.99594728136</v>
      </c>
      <c r="E462" s="8">
        <f t="shared" si="5"/>
        <v>805635.38620981504</v>
      </c>
    </row>
    <row r="463" spans="1:5">
      <c r="A463" s="2">
        <v>47604</v>
      </c>
      <c r="B463" s="3"/>
      <c r="C463" s="3">
        <f t="shared" si="3"/>
        <v>689835.68565887364</v>
      </c>
      <c r="D463" s="7">
        <f t="shared" si="4"/>
        <v>571890.90598236991</v>
      </c>
      <c r="E463" s="7">
        <f t="shared" si="5"/>
        <v>807780.46533537738</v>
      </c>
    </row>
    <row r="464" spans="1:5">
      <c r="A464" s="4">
        <v>47635</v>
      </c>
      <c r="B464" s="5"/>
      <c r="C464" s="5">
        <f t="shared" si="3"/>
        <v>690902.18023919908</v>
      </c>
      <c r="D464" s="8">
        <f t="shared" si="4"/>
        <v>571886.57248407661</v>
      </c>
      <c r="E464" s="8">
        <f t="shared" si="5"/>
        <v>809917.78799432155</v>
      </c>
    </row>
    <row r="465" spans="1:5">
      <c r="A465" s="2">
        <v>47665</v>
      </c>
      <c r="B465" s="3"/>
      <c r="C465" s="3">
        <f t="shared" si="3"/>
        <v>691968.67481952452</v>
      </c>
      <c r="D465" s="7">
        <f t="shared" si="4"/>
        <v>571889.78604761674</v>
      </c>
      <c r="E465" s="7">
        <f t="shared" si="5"/>
        <v>812047.56359143229</v>
      </c>
    </row>
    <row r="466" spans="1:5">
      <c r="A466" s="4">
        <v>47696</v>
      </c>
      <c r="B466" s="5"/>
      <c r="C466" s="5">
        <f t="shared" si="3"/>
        <v>693035.16939984984</v>
      </c>
      <c r="D466" s="8">
        <f t="shared" si="4"/>
        <v>571900.34605761466</v>
      </c>
      <c r="E466" s="8">
        <f t="shared" si="5"/>
        <v>814169.99274208501</v>
      </c>
    </row>
    <row r="467" spans="1:5">
      <c r="A467" s="2">
        <v>47727</v>
      </c>
      <c r="B467" s="3"/>
      <c r="C467" s="3">
        <f t="shared" si="3"/>
        <v>694101.66398017528</v>
      </c>
      <c r="D467" s="7">
        <f t="shared" si="4"/>
        <v>571918.06018332171</v>
      </c>
      <c r="E467" s="7">
        <f t="shared" si="5"/>
        <v>816285.26777702884</v>
      </c>
    </row>
    <row r="468" spans="1:5">
      <c r="A468" s="4">
        <v>47757</v>
      </c>
      <c r="B468" s="5"/>
      <c r="C468" s="5">
        <f t="shared" si="3"/>
        <v>695168.15856050071</v>
      </c>
      <c r="D468" s="8">
        <f t="shared" si="4"/>
        <v>571942.74391042732</v>
      </c>
      <c r="E468" s="8">
        <f t="shared" si="5"/>
        <v>818393.5732105741</v>
      </c>
    </row>
    <row r="469" spans="1:5">
      <c r="A469" s="2">
        <v>47788</v>
      </c>
      <c r="B469" s="3"/>
      <c r="C469" s="3">
        <f t="shared" si="3"/>
        <v>696234.65314082615</v>
      </c>
      <c r="D469" s="7">
        <f t="shared" si="4"/>
        <v>571974.22010627994</v>
      </c>
      <c r="E469" s="7">
        <f t="shared" si="5"/>
        <v>820495.08617537236</v>
      </c>
    </row>
    <row r="470" spans="1:5">
      <c r="A470" s="4">
        <v>47818</v>
      </c>
      <c r="B470" s="5"/>
      <c r="C470" s="5">
        <f t="shared" ref="C470:C506" si="6">_xlfn.FORECAST.ETS(A470,$B$3:$B$405,$A$3:$A$405,1,1)</f>
        <v>697301.14772115147</v>
      </c>
      <c r="D470" s="8">
        <f t="shared" ref="D470:D501" si="7">C470-_xlfn.FORECAST.ETS.CONFINT(A470,$B$3:$B$405,$A$3:$A$405,0.95,1,1)</f>
        <v>572012.31861564738</v>
      </c>
      <c r="E470" s="8">
        <f t="shared" ref="E470:E506" si="8">C470+_xlfn.FORECAST.ETS.CONFINT(A470,$B$3:$B$405,$A$3:$A$405,0.95,1,1)</f>
        <v>822589.97682665556</v>
      </c>
    </row>
    <row r="471" spans="1:5">
      <c r="A471" s="2">
        <v>47849</v>
      </c>
      <c r="B471" s="3"/>
      <c r="C471" s="3">
        <f t="shared" si="6"/>
        <v>698367.64230147691</v>
      </c>
      <c r="D471" s="7">
        <f t="shared" si="7"/>
        <v>572056.87588444224</v>
      </c>
      <c r="E471" s="7">
        <f t="shared" si="8"/>
        <v>824678.40871851158</v>
      </c>
    </row>
    <row r="472" spans="1:5">
      <c r="A472" s="4">
        <v>47880</v>
      </c>
      <c r="B472" s="5"/>
      <c r="C472" s="5">
        <f t="shared" si="6"/>
        <v>699434.13688180235</v>
      </c>
      <c r="D472" s="8">
        <f t="shared" si="7"/>
        <v>572107.73460908141</v>
      </c>
      <c r="E472" s="8">
        <f t="shared" si="8"/>
        <v>826760.53915452329</v>
      </c>
    </row>
    <row r="473" spans="1:5">
      <c r="A473" s="2">
        <v>47908</v>
      </c>
      <c r="B473" s="3"/>
      <c r="C473" s="3">
        <f t="shared" si="6"/>
        <v>700500.63146212779</v>
      </c>
      <c r="D473" s="7">
        <f t="shared" si="7"/>
        <v>572164.74340938241</v>
      </c>
      <c r="E473" s="7">
        <f t="shared" si="8"/>
        <v>828836.51951487316</v>
      </c>
    </row>
    <row r="474" spans="1:5">
      <c r="A474" s="4">
        <v>47939</v>
      </c>
      <c r="B474" s="5"/>
      <c r="C474" s="5">
        <f t="shared" si="6"/>
        <v>701567.12604245311</v>
      </c>
      <c r="D474" s="8">
        <f t="shared" si="7"/>
        <v>572227.75652309461</v>
      </c>
      <c r="E474" s="8">
        <f t="shared" si="8"/>
        <v>830906.49556181161</v>
      </c>
    </row>
    <row r="475" spans="1:5">
      <c r="A475" s="2">
        <v>47969</v>
      </c>
      <c r="B475" s="3"/>
      <c r="C475" s="3">
        <f t="shared" si="6"/>
        <v>702633.62062277854</v>
      </c>
      <c r="D475" s="7">
        <f t="shared" si="7"/>
        <v>572296.63352034346</v>
      </c>
      <c r="E475" s="7">
        <f t="shared" si="8"/>
        <v>832970.60772521363</v>
      </c>
    </row>
    <row r="476" spans="1:5">
      <c r="A476" s="4">
        <v>48000</v>
      </c>
      <c r="B476" s="5"/>
      <c r="C476" s="5">
        <f t="shared" si="6"/>
        <v>703700.11520310398</v>
      </c>
      <c r="D476" s="8">
        <f t="shared" si="7"/>
        <v>572371.23903642618</v>
      </c>
      <c r="E476" s="8">
        <f t="shared" si="8"/>
        <v>835028.99136978178</v>
      </c>
    </row>
    <row r="477" spans="1:5">
      <c r="A477" s="2">
        <v>48030</v>
      </c>
      <c r="B477" s="3"/>
      <c r="C477" s="3">
        <f t="shared" si="6"/>
        <v>704766.60978342942</v>
      </c>
      <c r="D477" s="7">
        <f t="shared" si="7"/>
        <v>572451.44252153765</v>
      </c>
      <c r="E477" s="7">
        <f t="shared" si="8"/>
        <v>837081.77704532119</v>
      </c>
    </row>
    <row r="478" spans="1:5">
      <c r="A478" s="4">
        <v>48061</v>
      </c>
      <c r="B478" s="5"/>
      <c r="C478" s="5">
        <f t="shared" si="6"/>
        <v>705833.10436375474</v>
      </c>
      <c r="D478" s="8">
        <f t="shared" si="7"/>
        <v>572537.11800613743</v>
      </c>
      <c r="E478" s="8">
        <f t="shared" si="8"/>
        <v>839129.09072137205</v>
      </c>
    </row>
    <row r="479" spans="1:5">
      <c r="A479" s="2">
        <v>48092</v>
      </c>
      <c r="B479" s="3"/>
      <c r="C479" s="3">
        <f t="shared" si="6"/>
        <v>706899.59894408018</v>
      </c>
      <c r="D479" s="7">
        <f t="shared" si="7"/>
        <v>572628.14388077916</v>
      </c>
      <c r="E479" s="7">
        <f t="shared" si="8"/>
        <v>841171.0540073812</v>
      </c>
    </row>
    <row r="480" spans="1:5">
      <c r="A480" s="4">
        <v>48122</v>
      </c>
      <c r="B480" s="5"/>
      <c r="C480" s="5">
        <f t="shared" si="6"/>
        <v>707966.09352440562</v>
      </c>
      <c r="D480" s="8">
        <f t="shared" si="7"/>
        <v>572724.40268932795</v>
      </c>
      <c r="E480" s="8">
        <f t="shared" si="8"/>
        <v>843207.78435948328</v>
      </c>
    </row>
    <row r="481" spans="1:5">
      <c r="A481" s="2">
        <v>48153</v>
      </c>
      <c r="B481" s="3"/>
      <c r="C481" s="3">
        <f t="shared" si="6"/>
        <v>709032.58810473094</v>
      </c>
      <c r="D481" s="7">
        <f t="shared" si="7"/>
        <v>572825.78093458805</v>
      </c>
      <c r="E481" s="7">
        <f t="shared" si="8"/>
        <v>845239.39527487382</v>
      </c>
    </row>
    <row r="482" spans="1:5">
      <c r="A482" s="4">
        <v>48183</v>
      </c>
      <c r="B482" s="5"/>
      <c r="C482" s="5">
        <f t="shared" si="6"/>
        <v>710099.08268505638</v>
      </c>
      <c r="D482" s="8">
        <f t="shared" si="7"/>
        <v>572932.16889544146</v>
      </c>
      <c r="E482" s="8">
        <f t="shared" si="8"/>
        <v>847265.99647467129</v>
      </c>
    </row>
    <row r="483" spans="1:5">
      <c r="A483" s="2">
        <v>48214</v>
      </c>
      <c r="B483" s="3"/>
      <c r="C483" s="3">
        <f t="shared" si="6"/>
        <v>711165.57726538181</v>
      </c>
      <c r="D483" s="7">
        <f t="shared" si="7"/>
        <v>573043.46045467444</v>
      </c>
      <c r="E483" s="7">
        <f t="shared" si="8"/>
        <v>849287.69407608919</v>
      </c>
    </row>
    <row r="484" spans="1:5">
      <c r="A484" s="4">
        <v>48245</v>
      </c>
      <c r="B484" s="5"/>
      <c r="C484" s="5">
        <f t="shared" si="6"/>
        <v>712232.07184570725</v>
      </c>
      <c r="D484" s="8">
        <f t="shared" si="7"/>
        <v>573159.55293674406</v>
      </c>
      <c r="E484" s="8">
        <f t="shared" si="8"/>
        <v>851304.59075467044</v>
      </c>
    </row>
    <row r="485" spans="1:5">
      <c r="A485" s="2">
        <v>48274</v>
      </c>
      <c r="B485" s="3"/>
      <c r="C485" s="3">
        <f t="shared" si="6"/>
        <v>713298.56642603269</v>
      </c>
      <c r="D485" s="7">
        <f t="shared" si="7"/>
        <v>573280.34695478762</v>
      </c>
      <c r="E485" s="7">
        <f t="shared" si="8"/>
        <v>853316.78589727776</v>
      </c>
    </row>
    <row r="486" spans="1:5">
      <c r="A486" s="4">
        <v>48305</v>
      </c>
      <c r="B486" s="5"/>
      <c r="C486" s="5">
        <f t="shared" si="6"/>
        <v>714365.06100635801</v>
      </c>
      <c r="D486" s="8">
        <f t="shared" si="7"/>
        <v>573405.74626624375</v>
      </c>
      <c r="E486" s="8">
        <f t="shared" si="8"/>
        <v>855324.37574647227</v>
      </c>
    </row>
    <row r="487" spans="1:5">
      <c r="A487" s="2">
        <v>48335</v>
      </c>
      <c r="B487" s="3"/>
      <c r="C487" s="3">
        <f t="shared" si="6"/>
        <v>715431.55558668345</v>
      </c>
      <c r="D487" s="7">
        <f t="shared" si="7"/>
        <v>573535.6576365002</v>
      </c>
      <c r="E487" s="7">
        <f t="shared" si="8"/>
        <v>857327.4535368667</v>
      </c>
    </row>
    <row r="488" spans="1:5">
      <c r="A488" s="4">
        <v>48366</v>
      </c>
      <c r="B488" s="5"/>
      <c r="C488" s="5">
        <f t="shared" si="6"/>
        <v>716498.05016700889</v>
      </c>
      <c r="D488" s="8">
        <f t="shared" si="7"/>
        <v>573669.99071002821</v>
      </c>
      <c r="E488" s="8">
        <f t="shared" si="8"/>
        <v>859326.10962398956</v>
      </c>
    </row>
    <row r="489" spans="1:5">
      <c r="A489" s="2">
        <v>48396</v>
      </c>
      <c r="B489" s="3"/>
      <c r="C489" s="3">
        <f t="shared" si="6"/>
        <v>717564.54474733421</v>
      </c>
      <c r="D489" s="7">
        <f t="shared" si="7"/>
        <v>573808.65788851038</v>
      </c>
      <c r="E489" s="7">
        <f t="shared" si="8"/>
        <v>861320.43160615803</v>
      </c>
    </row>
    <row r="490" spans="1:5">
      <c r="A490" s="4">
        <v>48427</v>
      </c>
      <c r="B490" s="5"/>
      <c r="C490" s="5">
        <f t="shared" si="6"/>
        <v>718631.03932765964</v>
      </c>
      <c r="D490" s="8">
        <f t="shared" si="7"/>
        <v>573951.57421550341</v>
      </c>
      <c r="E490" s="8">
        <f t="shared" si="8"/>
        <v>863310.50443981588</v>
      </c>
    </row>
    <row r="491" spans="1:5">
      <c r="A491" s="2">
        <v>48458</v>
      </c>
      <c r="B491" s="3"/>
      <c r="C491" s="3">
        <f t="shared" si="6"/>
        <v>719697.53390798508</v>
      </c>
      <c r="D491" s="7">
        <f t="shared" si="7"/>
        <v>574098.65726721135</v>
      </c>
      <c r="E491" s="7">
        <f t="shared" si="8"/>
        <v>865296.41054875881</v>
      </c>
    </row>
    <row r="492" spans="1:5">
      <c r="A492" s="4">
        <v>48488</v>
      </c>
      <c r="B492" s="5"/>
      <c r="C492" s="5">
        <f t="shared" si="6"/>
        <v>720764.02848831052</v>
      </c>
      <c r="D492" s="8">
        <f t="shared" si="7"/>
        <v>574249.82704898191</v>
      </c>
      <c r="E492" s="8">
        <f t="shared" si="8"/>
        <v>867278.22992763913</v>
      </c>
    </row>
    <row r="493" spans="1:5">
      <c r="A493" s="2">
        <v>48519</v>
      </c>
      <c r="B493" s="3"/>
      <c r="C493" s="3">
        <f t="shared" si="6"/>
        <v>721830.52306863596</v>
      </c>
      <c r="D493" s="7">
        <f t="shared" si="7"/>
        <v>574405.00589716132</v>
      </c>
      <c r="E493" s="7">
        <f t="shared" si="8"/>
        <v>869256.0402401106</v>
      </c>
    </row>
    <row r="494" spans="1:5">
      <c r="A494" s="4">
        <v>48549</v>
      </c>
      <c r="B494" s="5"/>
      <c r="C494" s="5">
        <f t="shared" si="6"/>
        <v>722897.01764896128</v>
      </c>
      <c r="D494" s="8">
        <f t="shared" si="7"/>
        <v>574564.11838597432</v>
      </c>
      <c r="E494" s="8">
        <f t="shared" si="8"/>
        <v>871229.91691194824</v>
      </c>
    </row>
    <row r="495" spans="1:5">
      <c r="A495" s="2">
        <v>48580</v>
      </c>
      <c r="B495" s="3"/>
      <c r="C495" s="3">
        <f t="shared" si="6"/>
        <v>723963.51222928672</v>
      </c>
      <c r="D495" s="7">
        <f t="shared" si="7"/>
        <v>574727.09123911883</v>
      </c>
      <c r="E495" s="7">
        <f t="shared" si="8"/>
        <v>873199.9332194546</v>
      </c>
    </row>
    <row r="496" spans="1:5">
      <c r="A496" s="4">
        <v>48611</v>
      </c>
      <c r="B496" s="5"/>
      <c r="C496" s="5">
        <f t="shared" si="6"/>
        <v>725030.00680961215</v>
      </c>
      <c r="D496" s="8">
        <f t="shared" si="7"/>
        <v>574893.85324578651</v>
      </c>
      <c r="E496" s="8">
        <f t="shared" si="8"/>
        <v>875166.1603734378</v>
      </c>
    </row>
    <row r="497" spans="1:12">
      <c r="A497" s="2">
        <v>48639</v>
      </c>
      <c r="B497" s="3"/>
      <c r="C497" s="3">
        <f t="shared" si="6"/>
        <v>726096.50138993748</v>
      </c>
      <c r="D497" s="7">
        <f t="shared" si="7"/>
        <v>575064.33518084185</v>
      </c>
      <c r="E497" s="7">
        <f t="shared" si="8"/>
        <v>877128.6675990331</v>
      </c>
    </row>
    <row r="498" spans="1:12">
      <c r="A498" s="4">
        <v>48670</v>
      </c>
      <c r="B498" s="5"/>
      <c r="C498" s="5">
        <f t="shared" si="6"/>
        <v>727162.99597026291</v>
      </c>
      <c r="D498" s="8">
        <f t="shared" si="7"/>
        <v>575238.46972891246</v>
      </c>
      <c r="E498" s="8">
        <f t="shared" si="8"/>
        <v>879087.52221161337</v>
      </c>
    </row>
    <row r="499" spans="1:12">
      <c r="A499" s="2">
        <v>48700</v>
      </c>
      <c r="B499" s="3"/>
      <c r="C499" s="3">
        <f t="shared" si="6"/>
        <v>728229.49055058835</v>
      </c>
      <c r="D499" s="7">
        <f t="shared" si="7"/>
        <v>575416.19141215715</v>
      </c>
      <c r="E499" s="7">
        <f t="shared" si="8"/>
        <v>881042.78968901956</v>
      </c>
    </row>
    <row r="500" spans="1:12">
      <c r="A500" s="4">
        <v>48731</v>
      </c>
      <c r="B500" s="5"/>
      <c r="C500" s="5">
        <f t="shared" si="6"/>
        <v>729295.98513091379</v>
      </c>
      <c r="D500" s="8">
        <f t="shared" si="7"/>
        <v>575597.4365214979</v>
      </c>
      <c r="E500" s="8">
        <f t="shared" si="8"/>
        <v>882994.53374032967</v>
      </c>
    </row>
    <row r="501" spans="1:12">
      <c r="A501" s="2">
        <v>48761</v>
      </c>
      <c r="B501" s="3"/>
      <c r="C501" s="3">
        <f t="shared" si="6"/>
        <v>730362.47971123923</v>
      </c>
      <c r="D501" s="7">
        <f t="shared" si="7"/>
        <v>575782.14305111591</v>
      </c>
      <c r="E501" s="7">
        <f t="shared" si="8"/>
        <v>884942.81637136254</v>
      </c>
    </row>
    <row r="502" spans="1:12">
      <c r="A502" s="4">
        <v>48792</v>
      </c>
      <c r="B502" s="5"/>
      <c r="C502" s="5">
        <f t="shared" si="6"/>
        <v>731428.97429156455</v>
      </c>
      <c r="D502" s="8">
        <f t="shared" ref="D502:D506" si="9">C502-_xlfn.FORECAST.ETS.CONFINT(A502,$B$3:$B$405,$A$3:$A$405,0.95,1,1)</f>
        <v>575970.25063602207</v>
      </c>
      <c r="E502" s="8">
        <f t="shared" si="8"/>
        <v>886887.69794710702</v>
      </c>
    </row>
    <row r="503" spans="1:12">
      <c r="A503" s="2">
        <v>48823</v>
      </c>
      <c r="B503" s="3"/>
      <c r="C503" s="3">
        <f t="shared" si="6"/>
        <v>732495.46887188999</v>
      </c>
      <c r="D503" s="7">
        <f t="shared" si="9"/>
        <v>576161.70049253083</v>
      </c>
      <c r="E503" s="7">
        <f t="shared" si="8"/>
        <v>888829.23725124914</v>
      </c>
    </row>
    <row r="504" spans="1:12">
      <c r="A504" s="4">
        <v>48853</v>
      </c>
      <c r="B504" s="5"/>
      <c r="C504" s="5">
        <f t="shared" si="6"/>
        <v>733561.96345221542</v>
      </c>
      <c r="D504" s="8">
        <f t="shared" si="9"/>
        <v>576356.43536147091</v>
      </c>
      <c r="E504" s="8">
        <f t="shared" si="8"/>
        <v>890767.49154295994</v>
      </c>
    </row>
    <row r="505" spans="1:12">
      <c r="A505" s="2">
        <v>48884</v>
      </c>
      <c r="B505" s="3"/>
      <c r="C505" s="3">
        <f t="shared" si="6"/>
        <v>734628.45803254074</v>
      </c>
      <c r="D505" s="7">
        <f t="shared" si="9"/>
        <v>576554.39945398411</v>
      </c>
      <c r="E505" s="7">
        <f t="shared" si="8"/>
        <v>892702.51661109738</v>
      </c>
    </row>
    <row r="506" spans="1:12">
      <c r="A506" s="20">
        <v>48914</v>
      </c>
      <c r="B506" s="21"/>
      <c r="C506" s="21">
        <f t="shared" si="6"/>
        <v>735694.95261286618</v>
      </c>
      <c r="D506" s="22">
        <f t="shared" si="9"/>
        <v>576755.53839976818</v>
      </c>
      <c r="E506" s="22">
        <f t="shared" si="8"/>
        <v>894634.36682596419</v>
      </c>
    </row>
    <row r="507" spans="1:12" ht="28.15" customHeight="1" collapsed="1">
      <c r="L507"/>
    </row>
    <row r="508" spans="1:12" ht="30" customHeight="1">
      <c r="L508"/>
    </row>
    <row r="509" spans="1:12" ht="30" customHeight="1">
      <c r="L509"/>
    </row>
  </sheetData>
  <mergeCells count="5">
    <mergeCell ref="F20:S20"/>
    <mergeCell ref="F21:S22"/>
    <mergeCell ref="R2:S2"/>
    <mergeCell ref="N2:P2"/>
    <mergeCell ref="A1:S1"/>
  </mergeCells>
  <dataValidations count="1">
    <dataValidation type="list" allowBlank="1" showInputMessage="1" showErrorMessage="1" sqref="H3" xr:uid="{00000000-0002-0000-0000-000000000000}">
      <formula1>$I$3:$I$5</formula1>
      <formula2>0</formula2>
    </dataValidation>
  </dataValidations>
  <pageMargins left="0.7" right="0.7" top="0.75" bottom="0.75" header="0.511811023622047" footer="0.511811023622047"/>
  <pageSetup paperSize="9" orientation="portrait" horizontalDpi="300" verticalDpi="300"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4D7B"/>
  </sheetPr>
  <dimension ref="A1:C404"/>
  <sheetViews>
    <sheetView zoomScaleNormal="100" workbookViewId="0">
      <selection activeCell="F16" sqref="F16"/>
    </sheetView>
  </sheetViews>
  <sheetFormatPr defaultColWidth="8.5703125" defaultRowHeight="14.25"/>
  <cols>
    <col min="1" max="1" width="20" customWidth="1"/>
    <col min="2" max="2" width="14" customWidth="1"/>
    <col min="3" max="3" width="16" style="9" customWidth="1"/>
  </cols>
  <sheetData>
    <row r="1" spans="1:3" ht="27.75" customHeight="1">
      <c r="A1" s="10" t="s">
        <v>33</v>
      </c>
      <c r="B1" s="10" t="s">
        <v>2</v>
      </c>
      <c r="C1" s="11" t="s">
        <v>1</v>
      </c>
    </row>
    <row r="2" spans="1:3">
      <c r="A2" s="2">
        <v>33604</v>
      </c>
      <c r="B2" s="3">
        <v>142419</v>
      </c>
      <c r="C2" s="2">
        <f>DATE(1992,1,1)</f>
        <v>33604</v>
      </c>
    </row>
    <row r="3" spans="1:3">
      <c r="A3" s="4">
        <v>33605</v>
      </c>
      <c r="B3" s="5">
        <v>142584</v>
      </c>
      <c r="C3" s="4">
        <f t="shared" ref="C3:C66" si="0">EDATE(C2,1)</f>
        <v>33635</v>
      </c>
    </row>
    <row r="4" spans="1:3">
      <c r="A4" s="2">
        <v>33606</v>
      </c>
      <c r="B4" s="3">
        <v>142120</v>
      </c>
      <c r="C4" s="2">
        <f t="shared" si="0"/>
        <v>33664</v>
      </c>
    </row>
    <row r="5" spans="1:3">
      <c r="A5" s="4">
        <v>33607</v>
      </c>
      <c r="B5" s="5">
        <v>143659</v>
      </c>
      <c r="C5" s="4">
        <f t="shared" si="0"/>
        <v>33695</v>
      </c>
    </row>
    <row r="6" spans="1:3">
      <c r="A6" s="2">
        <v>33608</v>
      </c>
      <c r="B6" s="3">
        <v>144239</v>
      </c>
      <c r="C6" s="2">
        <f t="shared" si="0"/>
        <v>33725</v>
      </c>
    </row>
    <row r="7" spans="1:3">
      <c r="A7" s="4">
        <v>33609</v>
      </c>
      <c r="B7" s="5">
        <v>145273</v>
      </c>
      <c r="C7" s="4">
        <f t="shared" si="0"/>
        <v>33756</v>
      </c>
    </row>
    <row r="8" spans="1:3">
      <c r="A8" s="2">
        <v>33610</v>
      </c>
      <c r="B8" s="3">
        <v>146743</v>
      </c>
      <c r="C8" s="2">
        <f t="shared" si="0"/>
        <v>33786</v>
      </c>
    </row>
    <row r="9" spans="1:3">
      <c r="A9" s="4">
        <v>33611</v>
      </c>
      <c r="B9" s="5">
        <v>146070</v>
      </c>
      <c r="C9" s="4">
        <f t="shared" si="0"/>
        <v>33817</v>
      </c>
    </row>
    <row r="10" spans="1:3">
      <c r="A10" s="2">
        <v>33612</v>
      </c>
      <c r="B10" s="3">
        <v>147932</v>
      </c>
      <c r="C10" s="2">
        <f t="shared" si="0"/>
        <v>33848</v>
      </c>
    </row>
    <row r="11" spans="1:3">
      <c r="A11" s="4">
        <v>33613</v>
      </c>
      <c r="B11" s="5">
        <v>149346</v>
      </c>
      <c r="C11" s="4">
        <f t="shared" si="0"/>
        <v>33878</v>
      </c>
    </row>
    <row r="12" spans="1:3">
      <c r="A12" s="2">
        <v>33614</v>
      </c>
      <c r="B12" s="3">
        <v>149131</v>
      </c>
      <c r="C12" s="2">
        <f t="shared" si="0"/>
        <v>33909</v>
      </c>
    </row>
    <row r="13" spans="1:3">
      <c r="A13" s="4">
        <v>33615</v>
      </c>
      <c r="B13" s="5">
        <v>150578</v>
      </c>
      <c r="C13" s="4">
        <f t="shared" si="0"/>
        <v>33939</v>
      </c>
    </row>
    <row r="14" spans="1:3">
      <c r="A14" s="2">
        <v>33970</v>
      </c>
      <c r="B14" s="3">
        <v>152329</v>
      </c>
      <c r="C14" s="2">
        <f t="shared" si="0"/>
        <v>33970</v>
      </c>
    </row>
    <row r="15" spans="1:3">
      <c r="A15" s="4">
        <v>33971</v>
      </c>
      <c r="B15" s="5">
        <v>151742</v>
      </c>
      <c r="C15" s="4">
        <f t="shared" si="0"/>
        <v>34001</v>
      </c>
    </row>
    <row r="16" spans="1:3">
      <c r="A16" s="2">
        <v>33972</v>
      </c>
      <c r="B16" s="3">
        <v>150525</v>
      </c>
      <c r="C16" s="2">
        <f t="shared" si="0"/>
        <v>34029</v>
      </c>
    </row>
    <row r="17" spans="1:3">
      <c r="A17" s="4">
        <v>33973</v>
      </c>
      <c r="B17" s="5">
        <v>154720</v>
      </c>
      <c r="C17" s="4">
        <f t="shared" si="0"/>
        <v>34060</v>
      </c>
    </row>
    <row r="18" spans="1:3">
      <c r="A18" s="2">
        <v>33974</v>
      </c>
      <c r="B18" s="3">
        <v>155537</v>
      </c>
      <c r="C18" s="2">
        <f t="shared" si="0"/>
        <v>34090</v>
      </c>
    </row>
    <row r="19" spans="1:3">
      <c r="A19" s="4">
        <v>33975</v>
      </c>
      <c r="B19" s="5">
        <v>155353</v>
      </c>
      <c r="C19" s="4">
        <f t="shared" si="0"/>
        <v>34121</v>
      </c>
    </row>
    <row r="20" spans="1:3">
      <c r="A20" s="2">
        <v>33976</v>
      </c>
      <c r="B20" s="3">
        <v>158267</v>
      </c>
      <c r="C20" s="2">
        <f t="shared" si="0"/>
        <v>34151</v>
      </c>
    </row>
    <row r="21" spans="1:3">
      <c r="A21" s="4">
        <v>33977</v>
      </c>
      <c r="B21" s="5">
        <v>157425</v>
      </c>
      <c r="C21" s="4">
        <f t="shared" si="0"/>
        <v>34182</v>
      </c>
    </row>
    <row r="22" spans="1:3">
      <c r="A22" s="2">
        <v>33978</v>
      </c>
      <c r="B22" s="3">
        <v>158535</v>
      </c>
      <c r="C22" s="2">
        <f t="shared" si="0"/>
        <v>34213</v>
      </c>
    </row>
    <row r="23" spans="1:3">
      <c r="A23" s="4">
        <v>33979</v>
      </c>
      <c r="B23" s="5">
        <v>159773</v>
      </c>
      <c r="C23" s="4">
        <f t="shared" si="0"/>
        <v>34243</v>
      </c>
    </row>
    <row r="24" spans="1:3">
      <c r="A24" s="2">
        <v>33980</v>
      </c>
      <c r="B24" s="3">
        <v>162004</v>
      </c>
      <c r="C24" s="2">
        <f t="shared" si="0"/>
        <v>34274</v>
      </c>
    </row>
    <row r="25" spans="1:3">
      <c r="A25" s="4">
        <v>33981</v>
      </c>
      <c r="B25" s="5">
        <v>163258</v>
      </c>
      <c r="C25" s="4">
        <f t="shared" si="0"/>
        <v>34304</v>
      </c>
    </row>
    <row r="26" spans="1:3">
      <c r="A26" s="2">
        <v>34335</v>
      </c>
      <c r="B26" s="3">
        <v>162369</v>
      </c>
      <c r="C26" s="2">
        <f t="shared" si="0"/>
        <v>34335</v>
      </c>
    </row>
    <row r="27" spans="1:3">
      <c r="A27" s="4">
        <v>34336</v>
      </c>
      <c r="B27" s="5">
        <v>165075</v>
      </c>
      <c r="C27" s="4">
        <f t="shared" si="0"/>
        <v>34366</v>
      </c>
    </row>
    <row r="28" spans="1:3">
      <c r="A28" s="2">
        <v>34337</v>
      </c>
      <c r="B28" s="3">
        <v>168330</v>
      </c>
      <c r="C28" s="2">
        <f t="shared" si="0"/>
        <v>34394</v>
      </c>
    </row>
    <row r="29" spans="1:3">
      <c r="A29" s="4">
        <v>34338</v>
      </c>
      <c r="B29" s="5">
        <v>168262</v>
      </c>
      <c r="C29" s="4">
        <f t="shared" si="0"/>
        <v>34425</v>
      </c>
    </row>
    <row r="30" spans="1:3">
      <c r="A30" s="2">
        <v>34339</v>
      </c>
      <c r="B30" s="3">
        <v>167412</v>
      </c>
      <c r="C30" s="2">
        <f t="shared" si="0"/>
        <v>34455</v>
      </c>
    </row>
    <row r="31" spans="1:3">
      <c r="A31" s="4">
        <v>34340</v>
      </c>
      <c r="B31" s="5">
        <v>169337</v>
      </c>
      <c r="C31" s="4">
        <f t="shared" si="0"/>
        <v>34486</v>
      </c>
    </row>
    <row r="32" spans="1:3">
      <c r="A32" s="2">
        <v>34341</v>
      </c>
      <c r="B32" s="3">
        <v>169514</v>
      </c>
      <c r="C32" s="2">
        <f t="shared" si="0"/>
        <v>34516</v>
      </c>
    </row>
    <row r="33" spans="1:3">
      <c r="A33" s="4">
        <v>34342</v>
      </c>
      <c r="B33" s="5">
        <v>172332</v>
      </c>
      <c r="C33" s="4">
        <f t="shared" si="0"/>
        <v>34547</v>
      </c>
    </row>
    <row r="34" spans="1:3">
      <c r="A34" s="2">
        <v>34343</v>
      </c>
      <c r="B34" s="3">
        <v>174018</v>
      </c>
      <c r="C34" s="2">
        <f t="shared" si="0"/>
        <v>34578</v>
      </c>
    </row>
    <row r="35" spans="1:3">
      <c r="A35" s="4">
        <v>34344</v>
      </c>
      <c r="B35" s="5">
        <v>175309</v>
      </c>
      <c r="C35" s="4">
        <f t="shared" si="0"/>
        <v>34608</v>
      </c>
    </row>
    <row r="36" spans="1:3">
      <c r="A36" s="2">
        <v>34345</v>
      </c>
      <c r="B36" s="3">
        <v>175761</v>
      </c>
      <c r="C36" s="2">
        <f t="shared" si="0"/>
        <v>34639</v>
      </c>
    </row>
    <row r="37" spans="1:3">
      <c r="A37" s="4">
        <v>34346</v>
      </c>
      <c r="B37" s="5">
        <v>176168</v>
      </c>
      <c r="C37" s="4">
        <f t="shared" si="0"/>
        <v>34669</v>
      </c>
    </row>
    <row r="38" spans="1:3">
      <c r="A38" s="2">
        <v>34700</v>
      </c>
      <c r="B38" s="3">
        <v>177136</v>
      </c>
      <c r="C38" s="2">
        <f t="shared" si="0"/>
        <v>34700</v>
      </c>
    </row>
    <row r="39" spans="1:3">
      <c r="A39" s="4">
        <v>34701</v>
      </c>
      <c r="B39" s="5">
        <v>174560</v>
      </c>
      <c r="C39" s="4">
        <f t="shared" si="0"/>
        <v>34731</v>
      </c>
    </row>
    <row r="40" spans="1:3">
      <c r="A40" s="2">
        <v>34702</v>
      </c>
      <c r="B40" s="3">
        <v>176376</v>
      </c>
      <c r="C40" s="2">
        <f t="shared" si="0"/>
        <v>34759</v>
      </c>
    </row>
    <row r="41" spans="1:3">
      <c r="A41" s="4">
        <v>34703</v>
      </c>
      <c r="B41" s="5">
        <v>176353</v>
      </c>
      <c r="C41" s="4">
        <f t="shared" si="0"/>
        <v>34790</v>
      </c>
    </row>
    <row r="42" spans="1:3">
      <c r="A42" s="2">
        <v>34704</v>
      </c>
      <c r="B42" s="3">
        <v>179020</v>
      </c>
      <c r="C42" s="2">
        <f t="shared" si="0"/>
        <v>34820</v>
      </c>
    </row>
    <row r="43" spans="1:3">
      <c r="A43" s="4">
        <v>34705</v>
      </c>
      <c r="B43" s="5">
        <v>181382</v>
      </c>
      <c r="C43" s="4">
        <f t="shared" si="0"/>
        <v>34851</v>
      </c>
    </row>
    <row r="44" spans="1:3">
      <c r="A44" s="2">
        <v>34706</v>
      </c>
      <c r="B44" s="3">
        <v>180019</v>
      </c>
      <c r="C44" s="2">
        <f t="shared" si="0"/>
        <v>34881</v>
      </c>
    </row>
    <row r="45" spans="1:3">
      <c r="A45" s="4">
        <v>34707</v>
      </c>
      <c r="B45" s="5">
        <v>181787</v>
      </c>
      <c r="C45" s="4">
        <f t="shared" si="0"/>
        <v>34912</v>
      </c>
    </row>
    <row r="46" spans="1:3">
      <c r="A46" s="2">
        <v>34708</v>
      </c>
      <c r="B46" s="3">
        <v>182074</v>
      </c>
      <c r="C46" s="2">
        <f t="shared" si="0"/>
        <v>34943</v>
      </c>
    </row>
    <row r="47" spans="1:3">
      <c r="A47" s="4">
        <v>34709</v>
      </c>
      <c r="B47" s="5">
        <v>181411</v>
      </c>
      <c r="C47" s="4">
        <f t="shared" si="0"/>
        <v>34973</v>
      </c>
    </row>
    <row r="48" spans="1:3">
      <c r="A48" s="2">
        <v>34710</v>
      </c>
      <c r="B48" s="3">
        <v>184327</v>
      </c>
      <c r="C48" s="2">
        <f t="shared" si="0"/>
        <v>35004</v>
      </c>
    </row>
    <row r="49" spans="1:3">
      <c r="A49" s="4">
        <v>34711</v>
      </c>
      <c r="B49" s="5">
        <v>184841</v>
      </c>
      <c r="C49" s="4">
        <f t="shared" si="0"/>
        <v>35034</v>
      </c>
    </row>
    <row r="50" spans="1:3">
      <c r="A50" s="2">
        <v>35065</v>
      </c>
      <c r="B50" s="3">
        <v>184636</v>
      </c>
      <c r="C50" s="2">
        <f t="shared" si="0"/>
        <v>35065</v>
      </c>
    </row>
    <row r="51" spans="1:3">
      <c r="A51" s="4">
        <v>35066</v>
      </c>
      <c r="B51" s="5">
        <v>187576</v>
      </c>
      <c r="C51" s="4">
        <f t="shared" si="0"/>
        <v>35096</v>
      </c>
    </row>
    <row r="52" spans="1:3">
      <c r="A52" s="2">
        <v>35067</v>
      </c>
      <c r="B52" s="3">
        <v>188237</v>
      </c>
      <c r="C52" s="2">
        <f t="shared" si="0"/>
        <v>35125</v>
      </c>
    </row>
    <row r="53" spans="1:3">
      <c r="A53" s="4">
        <v>35068</v>
      </c>
      <c r="B53" s="5">
        <v>189778</v>
      </c>
      <c r="C53" s="4">
        <f t="shared" si="0"/>
        <v>35156</v>
      </c>
    </row>
    <row r="54" spans="1:3">
      <c r="A54" s="2">
        <v>35069</v>
      </c>
      <c r="B54" s="3">
        <v>191544</v>
      </c>
      <c r="C54" s="2">
        <f t="shared" si="0"/>
        <v>35186</v>
      </c>
    </row>
    <row r="55" spans="1:3">
      <c r="A55" s="4">
        <v>35070</v>
      </c>
      <c r="B55" s="5">
        <v>189960</v>
      </c>
      <c r="C55" s="4">
        <f t="shared" si="0"/>
        <v>35217</v>
      </c>
    </row>
    <row r="56" spans="1:3">
      <c r="A56" s="2">
        <v>35071</v>
      </c>
      <c r="B56" s="3">
        <v>191113</v>
      </c>
      <c r="C56" s="2">
        <f t="shared" si="0"/>
        <v>35247</v>
      </c>
    </row>
    <row r="57" spans="1:3">
      <c r="A57" s="4">
        <v>35072</v>
      </c>
      <c r="B57" s="5">
        <v>191139</v>
      </c>
      <c r="C57" s="4">
        <f t="shared" si="0"/>
        <v>35278</v>
      </c>
    </row>
    <row r="58" spans="1:3">
      <c r="A58" s="2">
        <v>35073</v>
      </c>
      <c r="B58" s="3">
        <v>193303</v>
      </c>
      <c r="C58" s="2">
        <f t="shared" si="0"/>
        <v>35309</v>
      </c>
    </row>
    <row r="59" spans="1:3">
      <c r="A59" s="4">
        <v>35074</v>
      </c>
      <c r="B59" s="5">
        <v>195420</v>
      </c>
      <c r="C59" s="4">
        <f t="shared" si="0"/>
        <v>35339</v>
      </c>
    </row>
    <row r="60" spans="1:3">
      <c r="A60" s="2">
        <v>35075</v>
      </c>
      <c r="B60" s="3">
        <v>194860</v>
      </c>
      <c r="C60" s="2">
        <f t="shared" si="0"/>
        <v>35370</v>
      </c>
    </row>
    <row r="61" spans="1:3">
      <c r="A61" s="4">
        <v>35076</v>
      </c>
      <c r="B61" s="5">
        <v>195318</v>
      </c>
      <c r="C61" s="4">
        <f t="shared" si="0"/>
        <v>35400</v>
      </c>
    </row>
    <row r="62" spans="1:3">
      <c r="A62" s="2">
        <v>35431</v>
      </c>
      <c r="B62" s="3">
        <v>197447</v>
      </c>
      <c r="C62" s="2">
        <f t="shared" si="0"/>
        <v>35431</v>
      </c>
    </row>
    <row r="63" spans="1:3">
      <c r="A63" s="4">
        <v>35432</v>
      </c>
      <c r="B63" s="5">
        <v>198891</v>
      </c>
      <c r="C63" s="4">
        <f t="shared" si="0"/>
        <v>35462</v>
      </c>
    </row>
    <row r="64" spans="1:3">
      <c r="A64" s="2">
        <v>35433</v>
      </c>
      <c r="B64" s="3">
        <v>200352</v>
      </c>
      <c r="C64" s="2">
        <f t="shared" si="0"/>
        <v>35490</v>
      </c>
    </row>
    <row r="65" spans="1:3">
      <c r="A65" s="4">
        <v>35434</v>
      </c>
      <c r="B65" s="5">
        <v>197212</v>
      </c>
      <c r="C65" s="4">
        <f t="shared" si="0"/>
        <v>35521</v>
      </c>
    </row>
    <row r="66" spans="1:3">
      <c r="A66" s="2">
        <v>35435</v>
      </c>
      <c r="B66" s="3">
        <v>196937</v>
      </c>
      <c r="C66" s="2">
        <f t="shared" si="0"/>
        <v>35551</v>
      </c>
    </row>
    <row r="67" spans="1:3">
      <c r="A67" s="4">
        <v>35436</v>
      </c>
      <c r="B67" s="5">
        <v>199311</v>
      </c>
      <c r="C67" s="4">
        <f t="shared" ref="C67:C130" si="1">EDATE(C66,1)</f>
        <v>35582</v>
      </c>
    </row>
    <row r="68" spans="1:3">
      <c r="A68" s="2">
        <v>35437</v>
      </c>
      <c r="B68" s="3">
        <v>201751</v>
      </c>
      <c r="C68" s="2">
        <f t="shared" si="1"/>
        <v>35612</v>
      </c>
    </row>
    <row r="69" spans="1:3">
      <c r="A69" s="4">
        <v>35438</v>
      </c>
      <c r="B69" s="5">
        <v>201892</v>
      </c>
      <c r="C69" s="4">
        <f t="shared" si="1"/>
        <v>35643</v>
      </c>
    </row>
    <row r="70" spans="1:3">
      <c r="A70" s="2">
        <v>35439</v>
      </c>
      <c r="B70" s="3">
        <v>202992</v>
      </c>
      <c r="C70" s="2">
        <f t="shared" si="1"/>
        <v>35674</v>
      </c>
    </row>
    <row r="71" spans="1:3">
      <c r="A71" s="4">
        <v>35440</v>
      </c>
      <c r="B71" s="5">
        <v>203055</v>
      </c>
      <c r="C71" s="4">
        <f t="shared" si="1"/>
        <v>35704</v>
      </c>
    </row>
    <row r="72" spans="1:3">
      <c r="A72" s="2">
        <v>35441</v>
      </c>
      <c r="B72" s="3">
        <v>202778</v>
      </c>
      <c r="C72" s="2">
        <f t="shared" si="1"/>
        <v>35735</v>
      </c>
    </row>
    <row r="73" spans="1:3">
      <c r="A73" s="4">
        <v>35442</v>
      </c>
      <c r="B73" s="5">
        <v>203837</v>
      </c>
      <c r="C73" s="4">
        <f t="shared" si="1"/>
        <v>35765</v>
      </c>
    </row>
    <row r="74" spans="1:3">
      <c r="A74" s="2">
        <v>35796</v>
      </c>
      <c r="B74" s="3">
        <v>204505</v>
      </c>
      <c r="C74" s="2">
        <f t="shared" si="1"/>
        <v>35796</v>
      </c>
    </row>
    <row r="75" spans="1:3">
      <c r="A75" s="4">
        <v>35797</v>
      </c>
      <c r="B75" s="5">
        <v>204207</v>
      </c>
      <c r="C75" s="4">
        <f t="shared" si="1"/>
        <v>35827</v>
      </c>
    </row>
    <row r="76" spans="1:3">
      <c r="A76" s="2">
        <v>35798</v>
      </c>
      <c r="B76" s="3">
        <v>205311</v>
      </c>
      <c r="C76" s="2">
        <f t="shared" si="1"/>
        <v>35855</v>
      </c>
    </row>
    <row r="77" spans="1:3">
      <c r="A77" s="4">
        <v>35799</v>
      </c>
      <c r="B77" s="5">
        <v>208683</v>
      </c>
      <c r="C77" s="4">
        <f t="shared" si="1"/>
        <v>35886</v>
      </c>
    </row>
    <row r="78" spans="1:3">
      <c r="A78" s="2">
        <v>35800</v>
      </c>
      <c r="B78" s="3">
        <v>209165</v>
      </c>
      <c r="C78" s="2">
        <f t="shared" si="1"/>
        <v>35916</v>
      </c>
    </row>
    <row r="79" spans="1:3">
      <c r="A79" s="4">
        <v>35801</v>
      </c>
      <c r="B79" s="5">
        <v>211222</v>
      </c>
      <c r="C79" s="4">
        <f t="shared" si="1"/>
        <v>35947</v>
      </c>
    </row>
    <row r="80" spans="1:3">
      <c r="A80" s="2">
        <v>35802</v>
      </c>
      <c r="B80" s="3">
        <v>209658</v>
      </c>
      <c r="C80" s="2">
        <f t="shared" si="1"/>
        <v>35977</v>
      </c>
    </row>
    <row r="81" spans="1:3">
      <c r="A81" s="4">
        <v>35803</v>
      </c>
      <c r="B81" s="5">
        <v>207737</v>
      </c>
      <c r="C81" s="4">
        <f t="shared" si="1"/>
        <v>36008</v>
      </c>
    </row>
    <row r="82" spans="1:3">
      <c r="A82" s="2">
        <v>35804</v>
      </c>
      <c r="B82" s="3">
        <v>210112</v>
      </c>
      <c r="C82" s="2">
        <f t="shared" si="1"/>
        <v>36039</v>
      </c>
    </row>
    <row r="83" spans="1:3">
      <c r="A83" s="4">
        <v>35805</v>
      </c>
      <c r="B83" s="5">
        <v>213794</v>
      </c>
      <c r="C83" s="4">
        <f t="shared" si="1"/>
        <v>36069</v>
      </c>
    </row>
    <row r="84" spans="1:3">
      <c r="A84" s="2">
        <v>35806</v>
      </c>
      <c r="B84" s="3">
        <v>215194</v>
      </c>
      <c r="C84" s="2">
        <f t="shared" si="1"/>
        <v>36100</v>
      </c>
    </row>
    <row r="85" spans="1:3">
      <c r="A85" s="4">
        <v>35807</v>
      </c>
      <c r="B85" s="5">
        <v>217396</v>
      </c>
      <c r="C85" s="4">
        <f t="shared" si="1"/>
        <v>36130</v>
      </c>
    </row>
    <row r="86" spans="1:3">
      <c r="A86" s="2">
        <v>36161</v>
      </c>
      <c r="B86" s="3">
        <v>217930</v>
      </c>
      <c r="C86" s="2">
        <f t="shared" si="1"/>
        <v>36161</v>
      </c>
    </row>
    <row r="87" spans="1:3">
      <c r="A87" s="4">
        <v>36162</v>
      </c>
      <c r="B87" s="5">
        <v>220769</v>
      </c>
      <c r="C87" s="4">
        <f t="shared" si="1"/>
        <v>36192</v>
      </c>
    </row>
    <row r="88" spans="1:3">
      <c r="A88" s="2">
        <v>36163</v>
      </c>
      <c r="B88" s="3">
        <v>222199</v>
      </c>
      <c r="C88" s="2">
        <f t="shared" si="1"/>
        <v>36220</v>
      </c>
    </row>
    <row r="89" spans="1:3">
      <c r="A89" s="4">
        <v>36164</v>
      </c>
      <c r="B89" s="5">
        <v>223837</v>
      </c>
      <c r="C89" s="4">
        <f t="shared" si="1"/>
        <v>36251</v>
      </c>
    </row>
    <row r="90" spans="1:3">
      <c r="A90" s="2">
        <v>36165</v>
      </c>
      <c r="B90" s="3">
        <v>225577</v>
      </c>
      <c r="C90" s="2">
        <f t="shared" si="1"/>
        <v>36281</v>
      </c>
    </row>
    <row r="91" spans="1:3">
      <c r="A91" s="4">
        <v>36166</v>
      </c>
      <c r="B91" s="5">
        <v>226474</v>
      </c>
      <c r="C91" s="4">
        <f t="shared" si="1"/>
        <v>36312</v>
      </c>
    </row>
    <row r="92" spans="1:3">
      <c r="A92" s="2">
        <v>36167</v>
      </c>
      <c r="B92" s="3">
        <v>228424</v>
      </c>
      <c r="C92" s="2">
        <f t="shared" si="1"/>
        <v>36342</v>
      </c>
    </row>
    <row r="93" spans="1:3">
      <c r="A93" s="4">
        <v>36168</v>
      </c>
      <c r="B93" s="5">
        <v>230902</v>
      </c>
      <c r="C93" s="4">
        <f t="shared" si="1"/>
        <v>36373</v>
      </c>
    </row>
    <row r="94" spans="1:3">
      <c r="A94" s="2">
        <v>36169</v>
      </c>
      <c r="B94" s="3">
        <v>231912</v>
      </c>
      <c r="C94" s="2">
        <f t="shared" si="1"/>
        <v>36404</v>
      </c>
    </row>
    <row r="95" spans="1:3">
      <c r="A95" s="4">
        <v>36170</v>
      </c>
      <c r="B95" s="5">
        <v>231254</v>
      </c>
      <c r="C95" s="4">
        <f t="shared" si="1"/>
        <v>36434</v>
      </c>
    </row>
    <row r="96" spans="1:3">
      <c r="A96" s="2">
        <v>36171</v>
      </c>
      <c r="B96" s="3">
        <v>234425</v>
      </c>
      <c r="C96" s="2">
        <f t="shared" si="1"/>
        <v>36465</v>
      </c>
    </row>
    <row r="97" spans="1:3">
      <c r="A97" s="4">
        <v>36172</v>
      </c>
      <c r="B97" s="5">
        <v>239589</v>
      </c>
      <c r="C97" s="4">
        <f t="shared" si="1"/>
        <v>36495</v>
      </c>
    </row>
    <row r="98" spans="1:3">
      <c r="A98" s="2">
        <v>36526</v>
      </c>
      <c r="B98" s="3">
        <v>237541</v>
      </c>
      <c r="C98" s="2">
        <f t="shared" si="1"/>
        <v>36526</v>
      </c>
    </row>
    <row r="99" spans="1:3">
      <c r="A99" s="4">
        <v>36527</v>
      </c>
      <c r="B99" s="5">
        <v>241541</v>
      </c>
      <c r="C99" s="4">
        <f t="shared" si="1"/>
        <v>36557</v>
      </c>
    </row>
    <row r="100" spans="1:3">
      <c r="A100" s="2">
        <v>36528</v>
      </c>
      <c r="B100" s="3">
        <v>244533</v>
      </c>
      <c r="C100" s="2">
        <f t="shared" si="1"/>
        <v>36586</v>
      </c>
    </row>
    <row r="101" spans="1:3">
      <c r="A101" s="4">
        <v>36529</v>
      </c>
      <c r="B101" s="5">
        <v>239552</v>
      </c>
      <c r="C101" s="4">
        <f t="shared" si="1"/>
        <v>36617</v>
      </c>
    </row>
    <row r="102" spans="1:3">
      <c r="A102" s="2">
        <v>36530</v>
      </c>
      <c r="B102" s="3">
        <v>241546</v>
      </c>
      <c r="C102" s="2">
        <f t="shared" si="1"/>
        <v>36647</v>
      </c>
    </row>
    <row r="103" spans="1:3">
      <c r="A103" s="4">
        <v>36531</v>
      </c>
      <c r="B103" s="5">
        <v>243226</v>
      </c>
      <c r="C103" s="4">
        <f t="shared" si="1"/>
        <v>36678</v>
      </c>
    </row>
    <row r="104" spans="1:3">
      <c r="A104" s="2">
        <v>36532</v>
      </c>
      <c r="B104" s="3">
        <v>240979</v>
      </c>
      <c r="C104" s="2">
        <f t="shared" si="1"/>
        <v>36708</v>
      </c>
    </row>
    <row r="105" spans="1:3">
      <c r="A105" s="4">
        <v>36533</v>
      </c>
      <c r="B105" s="5">
        <v>242318</v>
      </c>
      <c r="C105" s="4">
        <f t="shared" si="1"/>
        <v>36739</v>
      </c>
    </row>
    <row r="106" spans="1:3">
      <c r="A106" s="2">
        <v>36534</v>
      </c>
      <c r="B106" s="3">
        <v>245520</v>
      </c>
      <c r="C106" s="2">
        <f t="shared" si="1"/>
        <v>36770</v>
      </c>
    </row>
    <row r="107" spans="1:3">
      <c r="A107" s="4">
        <v>36535</v>
      </c>
      <c r="B107" s="5">
        <v>245399</v>
      </c>
      <c r="C107" s="4">
        <f t="shared" si="1"/>
        <v>36800</v>
      </c>
    </row>
    <row r="108" spans="1:3">
      <c r="A108" s="2">
        <v>36536</v>
      </c>
      <c r="B108" s="3">
        <v>243846</v>
      </c>
      <c r="C108" s="2">
        <f t="shared" si="1"/>
        <v>36831</v>
      </c>
    </row>
    <row r="109" spans="1:3">
      <c r="A109" s="4">
        <v>36537</v>
      </c>
      <c r="B109" s="5">
        <v>243844</v>
      </c>
      <c r="C109" s="4">
        <f t="shared" si="1"/>
        <v>36861</v>
      </c>
    </row>
    <row r="110" spans="1:3">
      <c r="A110" s="2">
        <v>36892</v>
      </c>
      <c r="B110" s="3">
        <v>247339</v>
      </c>
      <c r="C110" s="2">
        <f t="shared" si="1"/>
        <v>36892</v>
      </c>
    </row>
    <row r="111" spans="1:3">
      <c r="A111" s="4">
        <v>36893</v>
      </c>
      <c r="B111" s="5">
        <v>247289</v>
      </c>
      <c r="C111" s="4">
        <f t="shared" si="1"/>
        <v>36923</v>
      </c>
    </row>
    <row r="112" spans="1:3">
      <c r="A112" s="2">
        <v>36894</v>
      </c>
      <c r="B112" s="3">
        <v>244514</v>
      </c>
      <c r="C112" s="2">
        <f t="shared" si="1"/>
        <v>36951</v>
      </c>
    </row>
    <row r="113" spans="1:3">
      <c r="A113" s="4">
        <v>36895</v>
      </c>
      <c r="B113" s="5">
        <v>249113</v>
      </c>
      <c r="C113" s="4">
        <f t="shared" si="1"/>
        <v>36982</v>
      </c>
    </row>
    <row r="114" spans="1:3">
      <c r="A114" s="2">
        <v>36896</v>
      </c>
      <c r="B114" s="3">
        <v>250250</v>
      </c>
      <c r="C114" s="2">
        <f t="shared" si="1"/>
        <v>37012</v>
      </c>
    </row>
    <row r="115" spans="1:3">
      <c r="A115" s="4">
        <v>36897</v>
      </c>
      <c r="B115" s="5">
        <v>248836</v>
      </c>
      <c r="C115" s="4">
        <f t="shared" si="1"/>
        <v>37043</v>
      </c>
    </row>
    <row r="116" spans="1:3">
      <c r="A116" s="2">
        <v>36898</v>
      </c>
      <c r="B116" s="3">
        <v>247336</v>
      </c>
      <c r="C116" s="2">
        <f t="shared" si="1"/>
        <v>37073</v>
      </c>
    </row>
    <row r="117" spans="1:3">
      <c r="A117" s="4">
        <v>36899</v>
      </c>
      <c r="B117" s="5">
        <v>249590</v>
      </c>
      <c r="C117" s="4">
        <f t="shared" si="1"/>
        <v>37104</v>
      </c>
    </row>
    <row r="118" spans="1:3">
      <c r="A118" s="2">
        <v>36900</v>
      </c>
      <c r="B118" s="3">
        <v>243130</v>
      </c>
      <c r="C118" s="2">
        <f t="shared" si="1"/>
        <v>37135</v>
      </c>
    </row>
    <row r="119" spans="1:3">
      <c r="A119" s="4">
        <v>36901</v>
      </c>
      <c r="B119" s="5">
        <v>262862</v>
      </c>
      <c r="C119" s="4">
        <f t="shared" si="1"/>
        <v>37165</v>
      </c>
    </row>
    <row r="120" spans="1:3">
      <c r="A120" s="2">
        <v>36902</v>
      </c>
      <c r="B120" s="3">
        <v>254084</v>
      </c>
      <c r="C120" s="2">
        <f t="shared" si="1"/>
        <v>37196</v>
      </c>
    </row>
    <row r="121" spans="1:3">
      <c r="A121" s="4">
        <v>36903</v>
      </c>
      <c r="B121" s="5">
        <v>249879</v>
      </c>
      <c r="C121" s="4">
        <f t="shared" si="1"/>
        <v>37226</v>
      </c>
    </row>
    <row r="122" spans="1:3">
      <c r="A122" s="2">
        <v>37257</v>
      </c>
      <c r="B122" s="3">
        <v>250603</v>
      </c>
      <c r="C122" s="2">
        <f t="shared" si="1"/>
        <v>37257</v>
      </c>
    </row>
    <row r="123" spans="1:3">
      <c r="A123" s="4">
        <v>37258</v>
      </c>
      <c r="B123" s="5">
        <v>252279</v>
      </c>
      <c r="C123" s="4">
        <f t="shared" si="1"/>
        <v>37288</v>
      </c>
    </row>
    <row r="124" spans="1:3">
      <c r="A124" s="2">
        <v>37259</v>
      </c>
      <c r="B124" s="3">
        <v>251542</v>
      </c>
      <c r="C124" s="2">
        <f t="shared" si="1"/>
        <v>37316</v>
      </c>
    </row>
    <row r="125" spans="1:3">
      <c r="A125" s="4">
        <v>37260</v>
      </c>
      <c r="B125" s="5">
        <v>254543</v>
      </c>
      <c r="C125" s="4">
        <f t="shared" si="1"/>
        <v>37347</v>
      </c>
    </row>
    <row r="126" spans="1:3">
      <c r="A126" s="2">
        <v>37261</v>
      </c>
      <c r="B126" s="3">
        <v>252390</v>
      </c>
      <c r="C126" s="2">
        <f t="shared" si="1"/>
        <v>37377</v>
      </c>
    </row>
    <row r="127" spans="1:3">
      <c r="A127" s="4">
        <v>37262</v>
      </c>
      <c r="B127" s="5">
        <v>253652</v>
      </c>
      <c r="C127" s="4">
        <f t="shared" si="1"/>
        <v>37408</v>
      </c>
    </row>
    <row r="128" spans="1:3">
      <c r="A128" s="2">
        <v>37263</v>
      </c>
      <c r="B128" s="3">
        <v>257339</v>
      </c>
      <c r="C128" s="2">
        <f t="shared" si="1"/>
        <v>37438</v>
      </c>
    </row>
    <row r="129" spans="1:3">
      <c r="A129" s="4">
        <v>37264</v>
      </c>
      <c r="B129" s="5">
        <v>259050</v>
      </c>
      <c r="C129" s="4">
        <f t="shared" si="1"/>
        <v>37469</v>
      </c>
    </row>
    <row r="130" spans="1:3">
      <c r="A130" s="2">
        <v>37265</v>
      </c>
      <c r="B130" s="3">
        <v>254081</v>
      </c>
      <c r="C130" s="2">
        <f t="shared" si="1"/>
        <v>37500</v>
      </c>
    </row>
    <row r="131" spans="1:3">
      <c r="A131" s="4">
        <v>37266</v>
      </c>
      <c r="B131" s="5">
        <v>256131</v>
      </c>
      <c r="C131" s="4">
        <f t="shared" ref="C131:C194" si="2">EDATE(C130,1)</f>
        <v>37530</v>
      </c>
    </row>
    <row r="132" spans="1:3">
      <c r="A132" s="2">
        <v>37267</v>
      </c>
      <c r="B132" s="3">
        <v>256350</v>
      </c>
      <c r="C132" s="2">
        <f t="shared" si="2"/>
        <v>37561</v>
      </c>
    </row>
    <row r="133" spans="1:3">
      <c r="A133" s="4">
        <v>37268</v>
      </c>
      <c r="B133" s="5">
        <v>259206</v>
      </c>
      <c r="C133" s="4">
        <f t="shared" si="2"/>
        <v>37591</v>
      </c>
    </row>
    <row r="134" spans="1:3">
      <c r="A134" s="2">
        <v>37622</v>
      </c>
      <c r="B134" s="3">
        <v>261394</v>
      </c>
      <c r="C134" s="2">
        <f t="shared" si="2"/>
        <v>37622</v>
      </c>
    </row>
    <row r="135" spans="1:3">
      <c r="A135" s="4">
        <v>37623</v>
      </c>
      <c r="B135" s="5">
        <v>257531</v>
      </c>
      <c r="C135" s="4">
        <f t="shared" si="2"/>
        <v>37653</v>
      </c>
    </row>
    <row r="136" spans="1:3">
      <c r="A136" s="2">
        <v>37624</v>
      </c>
      <c r="B136" s="3">
        <v>260566</v>
      </c>
      <c r="C136" s="2">
        <f t="shared" si="2"/>
        <v>37681</v>
      </c>
    </row>
    <row r="137" spans="1:3">
      <c r="A137" s="4">
        <v>37625</v>
      </c>
      <c r="B137" s="5">
        <v>261375</v>
      </c>
      <c r="C137" s="4">
        <f t="shared" si="2"/>
        <v>37712</v>
      </c>
    </row>
    <row r="138" spans="1:3">
      <c r="A138" s="2">
        <v>37626</v>
      </c>
      <c r="B138" s="3">
        <v>261392</v>
      </c>
      <c r="C138" s="2">
        <f t="shared" si="2"/>
        <v>37742</v>
      </c>
    </row>
    <row r="139" spans="1:3">
      <c r="A139" s="4">
        <v>37627</v>
      </c>
      <c r="B139" s="5">
        <v>265331</v>
      </c>
      <c r="C139" s="4">
        <f t="shared" si="2"/>
        <v>37773</v>
      </c>
    </row>
    <row r="140" spans="1:3">
      <c r="A140" s="2">
        <v>37628</v>
      </c>
      <c r="B140" s="3">
        <v>267683</v>
      </c>
      <c r="C140" s="2">
        <f t="shared" si="2"/>
        <v>37803</v>
      </c>
    </row>
    <row r="141" spans="1:3">
      <c r="A141" s="4">
        <v>37629</v>
      </c>
      <c r="B141" s="5">
        <v>270612</v>
      </c>
      <c r="C141" s="4">
        <f t="shared" si="2"/>
        <v>37834</v>
      </c>
    </row>
    <row r="142" spans="1:3">
      <c r="A142" s="2">
        <v>37630</v>
      </c>
      <c r="B142" s="3">
        <v>270212</v>
      </c>
      <c r="C142" s="2">
        <f t="shared" si="2"/>
        <v>37865</v>
      </c>
    </row>
    <row r="143" spans="1:3">
      <c r="A143" s="4">
        <v>37631</v>
      </c>
      <c r="B143" s="5">
        <v>269060</v>
      </c>
      <c r="C143" s="4">
        <f t="shared" si="2"/>
        <v>37895</v>
      </c>
    </row>
    <row r="144" spans="1:3">
      <c r="A144" s="2">
        <v>37632</v>
      </c>
      <c r="B144" s="3">
        <v>270161</v>
      </c>
      <c r="C144" s="2">
        <f t="shared" si="2"/>
        <v>37926</v>
      </c>
    </row>
    <row r="145" spans="1:3">
      <c r="A145" s="4">
        <v>37633</v>
      </c>
      <c r="B145" s="5">
        <v>271550</v>
      </c>
      <c r="C145" s="4">
        <f t="shared" si="2"/>
        <v>37956</v>
      </c>
    </row>
    <row r="146" spans="1:3">
      <c r="A146" s="2">
        <v>37987</v>
      </c>
      <c r="B146" s="3">
        <v>272465</v>
      </c>
      <c r="C146" s="2">
        <f t="shared" si="2"/>
        <v>37987</v>
      </c>
    </row>
    <row r="147" spans="1:3">
      <c r="A147" s="4">
        <v>37988</v>
      </c>
      <c r="B147" s="5">
        <v>274360</v>
      </c>
      <c r="C147" s="4">
        <f t="shared" si="2"/>
        <v>38018</v>
      </c>
    </row>
    <row r="148" spans="1:3">
      <c r="A148" s="2">
        <v>37989</v>
      </c>
      <c r="B148" s="3">
        <v>279692</v>
      </c>
      <c r="C148" s="2">
        <f t="shared" si="2"/>
        <v>38047</v>
      </c>
    </row>
    <row r="149" spans="1:3">
      <c r="A149" s="4">
        <v>37990</v>
      </c>
      <c r="B149" s="5">
        <v>277625</v>
      </c>
      <c r="C149" s="4">
        <f t="shared" si="2"/>
        <v>38078</v>
      </c>
    </row>
    <row r="150" spans="1:3">
      <c r="A150" s="2">
        <v>37991</v>
      </c>
      <c r="B150" s="3">
        <v>281281</v>
      </c>
      <c r="C150" s="2">
        <f t="shared" si="2"/>
        <v>38108</v>
      </c>
    </row>
    <row r="151" spans="1:3">
      <c r="A151" s="4">
        <v>37992</v>
      </c>
      <c r="B151" s="5">
        <v>279141</v>
      </c>
      <c r="C151" s="4">
        <f t="shared" si="2"/>
        <v>38139</v>
      </c>
    </row>
    <row r="152" spans="1:3">
      <c r="A152" s="2">
        <v>37993</v>
      </c>
      <c r="B152" s="3">
        <v>281350</v>
      </c>
      <c r="C152" s="2">
        <f t="shared" si="2"/>
        <v>38169</v>
      </c>
    </row>
    <row r="153" spans="1:3">
      <c r="A153" s="4">
        <v>37994</v>
      </c>
      <c r="B153" s="5">
        <v>281006</v>
      </c>
      <c r="C153" s="4">
        <f t="shared" si="2"/>
        <v>38200</v>
      </c>
    </row>
    <row r="154" spans="1:3">
      <c r="A154" s="2">
        <v>37995</v>
      </c>
      <c r="B154" s="3">
        <v>286866</v>
      </c>
      <c r="C154" s="2">
        <f t="shared" si="2"/>
        <v>38231</v>
      </c>
    </row>
    <row r="155" spans="1:3">
      <c r="A155" s="4">
        <v>37996</v>
      </c>
      <c r="B155" s="5">
        <v>287700</v>
      </c>
      <c r="C155" s="4">
        <f t="shared" si="2"/>
        <v>38261</v>
      </c>
    </row>
    <row r="156" spans="1:3">
      <c r="A156" s="2">
        <v>37997</v>
      </c>
      <c r="B156" s="3">
        <v>289679</v>
      </c>
      <c r="C156" s="2">
        <f t="shared" si="2"/>
        <v>38292</v>
      </c>
    </row>
    <row r="157" spans="1:3">
      <c r="A157" s="4">
        <v>37998</v>
      </c>
      <c r="B157" s="5">
        <v>293401</v>
      </c>
      <c r="C157" s="4">
        <f t="shared" si="2"/>
        <v>38322</v>
      </c>
    </row>
    <row r="158" spans="1:3">
      <c r="A158" s="2">
        <v>38353</v>
      </c>
      <c r="B158" s="3">
        <v>290111</v>
      </c>
      <c r="C158" s="2">
        <f t="shared" si="2"/>
        <v>38353</v>
      </c>
    </row>
    <row r="159" spans="1:3">
      <c r="A159" s="4">
        <v>38354</v>
      </c>
      <c r="B159" s="5">
        <v>293710</v>
      </c>
      <c r="C159" s="4">
        <f t="shared" si="2"/>
        <v>38384</v>
      </c>
    </row>
    <row r="160" spans="1:3">
      <c r="A160" s="2">
        <v>38355</v>
      </c>
      <c r="B160" s="3">
        <v>294743</v>
      </c>
      <c r="C160" s="2">
        <f t="shared" si="2"/>
        <v>38412</v>
      </c>
    </row>
    <row r="161" spans="1:3">
      <c r="A161" s="4">
        <v>38356</v>
      </c>
      <c r="B161" s="5">
        <v>297153</v>
      </c>
      <c r="C161" s="4">
        <f t="shared" si="2"/>
        <v>38443</v>
      </c>
    </row>
    <row r="162" spans="1:3">
      <c r="A162" s="2">
        <v>38357</v>
      </c>
      <c r="B162" s="3">
        <v>295314</v>
      </c>
      <c r="C162" s="2">
        <f t="shared" si="2"/>
        <v>38473</v>
      </c>
    </row>
    <row r="163" spans="1:3">
      <c r="A163" s="4">
        <v>38358</v>
      </c>
      <c r="B163" s="5">
        <v>305083</v>
      </c>
      <c r="C163" s="4">
        <f t="shared" si="2"/>
        <v>38504</v>
      </c>
    </row>
    <row r="164" spans="1:3">
      <c r="A164" s="2">
        <v>38359</v>
      </c>
      <c r="B164" s="3">
        <v>307320</v>
      </c>
      <c r="C164" s="2">
        <f t="shared" si="2"/>
        <v>38534</v>
      </c>
    </row>
    <row r="165" spans="1:3">
      <c r="A165" s="4">
        <v>38360</v>
      </c>
      <c r="B165" s="5">
        <v>303216</v>
      </c>
      <c r="C165" s="4">
        <f t="shared" si="2"/>
        <v>38565</v>
      </c>
    </row>
    <row r="166" spans="1:3">
      <c r="A166" s="2">
        <v>38361</v>
      </c>
      <c r="B166" s="3">
        <v>304187</v>
      </c>
      <c r="C166" s="2">
        <f t="shared" si="2"/>
        <v>38596</v>
      </c>
    </row>
    <row r="167" spans="1:3">
      <c r="A167" s="4">
        <v>38362</v>
      </c>
      <c r="B167" s="5">
        <v>303989</v>
      </c>
      <c r="C167" s="4">
        <f t="shared" si="2"/>
        <v>38626</v>
      </c>
    </row>
    <row r="168" spans="1:3">
      <c r="A168" s="2">
        <v>38363</v>
      </c>
      <c r="B168" s="3">
        <v>306566</v>
      </c>
      <c r="C168" s="2">
        <f t="shared" si="2"/>
        <v>38657</v>
      </c>
    </row>
    <row r="169" spans="1:3">
      <c r="A169" s="4">
        <v>38364</v>
      </c>
      <c r="B169" s="5">
        <v>306723</v>
      </c>
      <c r="C169" s="4">
        <f t="shared" si="2"/>
        <v>38687</v>
      </c>
    </row>
    <row r="170" spans="1:3">
      <c r="A170" s="2">
        <v>38718</v>
      </c>
      <c r="B170" s="3">
        <v>315566</v>
      </c>
      <c r="C170" s="2">
        <f t="shared" si="2"/>
        <v>38718</v>
      </c>
    </row>
    <row r="171" spans="1:3">
      <c r="A171" s="4">
        <v>38719</v>
      </c>
      <c r="B171" s="5">
        <v>313440</v>
      </c>
      <c r="C171" s="4">
        <f t="shared" si="2"/>
        <v>38749</v>
      </c>
    </row>
    <row r="172" spans="1:3">
      <c r="A172" s="2">
        <v>38720</v>
      </c>
      <c r="B172" s="3">
        <v>314471</v>
      </c>
      <c r="C172" s="2">
        <f t="shared" si="2"/>
        <v>38777</v>
      </c>
    </row>
    <row r="173" spans="1:3">
      <c r="A173" s="4">
        <v>38721</v>
      </c>
      <c r="B173" s="5">
        <v>316094</v>
      </c>
      <c r="C173" s="4">
        <f t="shared" si="2"/>
        <v>38808</v>
      </c>
    </row>
    <row r="174" spans="1:3">
      <c r="A174" s="2">
        <v>38722</v>
      </c>
      <c r="B174" s="3">
        <v>314919</v>
      </c>
      <c r="C174" s="2">
        <f t="shared" si="2"/>
        <v>38838</v>
      </c>
    </row>
    <row r="175" spans="1:3">
      <c r="A175" s="4">
        <v>38723</v>
      </c>
      <c r="B175" s="5">
        <v>316978</v>
      </c>
      <c r="C175" s="4">
        <f t="shared" si="2"/>
        <v>38869</v>
      </c>
    </row>
    <row r="176" spans="1:3">
      <c r="A176" s="2">
        <v>38724</v>
      </c>
      <c r="B176" s="3">
        <v>317984</v>
      </c>
      <c r="C176" s="2">
        <f t="shared" si="2"/>
        <v>38899</v>
      </c>
    </row>
    <row r="177" spans="1:3">
      <c r="A177" s="4">
        <v>38725</v>
      </c>
      <c r="B177" s="5">
        <v>318802</v>
      </c>
      <c r="C177" s="4">
        <f t="shared" si="2"/>
        <v>38930</v>
      </c>
    </row>
    <row r="178" spans="1:3">
      <c r="A178" s="2">
        <v>38726</v>
      </c>
      <c r="B178" s="3">
        <v>316400</v>
      </c>
      <c r="C178" s="2">
        <f t="shared" si="2"/>
        <v>38961</v>
      </c>
    </row>
    <row r="179" spans="1:3">
      <c r="A179" s="4">
        <v>38727</v>
      </c>
      <c r="B179" s="5">
        <v>316145</v>
      </c>
      <c r="C179" s="4">
        <f t="shared" si="2"/>
        <v>38991</v>
      </c>
    </row>
    <row r="180" spans="1:3">
      <c r="A180" s="2">
        <v>38728</v>
      </c>
      <c r="B180" s="3">
        <v>317123</v>
      </c>
      <c r="C180" s="2">
        <f t="shared" si="2"/>
        <v>39022</v>
      </c>
    </row>
    <row r="181" spans="1:3">
      <c r="A181" s="4">
        <v>38729</v>
      </c>
      <c r="B181" s="5">
        <v>320312</v>
      </c>
      <c r="C181" s="4">
        <f t="shared" si="2"/>
        <v>39052</v>
      </c>
    </row>
    <row r="182" spans="1:3">
      <c r="A182" s="2">
        <v>39083</v>
      </c>
      <c r="B182" s="3">
        <v>320305</v>
      </c>
      <c r="C182" s="2">
        <f t="shared" si="2"/>
        <v>39083</v>
      </c>
    </row>
    <row r="183" spans="1:3">
      <c r="A183" s="4">
        <v>39084</v>
      </c>
      <c r="B183" s="5">
        <v>321434</v>
      </c>
      <c r="C183" s="4">
        <f t="shared" si="2"/>
        <v>39114</v>
      </c>
    </row>
    <row r="184" spans="1:3">
      <c r="A184" s="2">
        <v>39085</v>
      </c>
      <c r="B184" s="3">
        <v>323708</v>
      </c>
      <c r="C184" s="2">
        <f t="shared" si="2"/>
        <v>39142</v>
      </c>
    </row>
    <row r="185" spans="1:3">
      <c r="A185" s="4">
        <v>39086</v>
      </c>
      <c r="B185" s="5">
        <v>322878</v>
      </c>
      <c r="C185" s="4">
        <f t="shared" si="2"/>
        <v>39173</v>
      </c>
    </row>
    <row r="186" spans="1:3">
      <c r="A186" s="2">
        <v>39087</v>
      </c>
      <c r="B186" s="3">
        <v>327266</v>
      </c>
      <c r="C186" s="2">
        <f t="shared" si="2"/>
        <v>39203</v>
      </c>
    </row>
    <row r="187" spans="1:3">
      <c r="A187" s="4">
        <v>39088</v>
      </c>
      <c r="B187" s="5">
        <v>324076</v>
      </c>
      <c r="C187" s="4">
        <f t="shared" si="2"/>
        <v>39234</v>
      </c>
    </row>
    <row r="188" spans="1:3">
      <c r="A188" s="2">
        <v>39089</v>
      </c>
      <c r="B188" s="3">
        <v>325455</v>
      </c>
      <c r="C188" s="2">
        <f t="shared" si="2"/>
        <v>39264</v>
      </c>
    </row>
    <row r="189" spans="1:3">
      <c r="A189" s="4">
        <v>39090</v>
      </c>
      <c r="B189" s="5">
        <v>327444</v>
      </c>
      <c r="C189" s="4">
        <f t="shared" si="2"/>
        <v>39295</v>
      </c>
    </row>
    <row r="190" spans="1:3">
      <c r="A190" s="2">
        <v>39091</v>
      </c>
      <c r="B190" s="3">
        <v>328668</v>
      </c>
      <c r="C190" s="2">
        <f t="shared" si="2"/>
        <v>39326</v>
      </c>
    </row>
    <row r="191" spans="1:3">
      <c r="A191" s="4">
        <v>39092</v>
      </c>
      <c r="B191" s="5">
        <v>330544</v>
      </c>
      <c r="C191" s="4">
        <f t="shared" si="2"/>
        <v>39356</v>
      </c>
    </row>
    <row r="192" spans="1:3">
      <c r="A192" s="2">
        <v>39093</v>
      </c>
      <c r="B192" s="3">
        <v>334021</v>
      </c>
      <c r="C192" s="2">
        <f t="shared" si="2"/>
        <v>39387</v>
      </c>
    </row>
    <row r="193" spans="1:3">
      <c r="A193" s="4">
        <v>39094</v>
      </c>
      <c r="B193" s="5">
        <v>329259</v>
      </c>
      <c r="C193" s="4">
        <f t="shared" si="2"/>
        <v>39417</v>
      </c>
    </row>
    <row r="194" spans="1:3">
      <c r="A194" s="2">
        <v>39448</v>
      </c>
      <c r="B194" s="3">
        <v>330478</v>
      </c>
      <c r="C194" s="2">
        <f t="shared" si="2"/>
        <v>39448</v>
      </c>
    </row>
    <row r="195" spans="1:3">
      <c r="A195" s="4">
        <v>39449</v>
      </c>
      <c r="B195" s="5">
        <v>327869</v>
      </c>
      <c r="C195" s="4">
        <f t="shared" ref="C195:C258" si="3">EDATE(C194,1)</f>
        <v>39479</v>
      </c>
    </row>
    <row r="196" spans="1:3">
      <c r="A196" s="2">
        <v>39450</v>
      </c>
      <c r="B196" s="3">
        <v>328493</v>
      </c>
      <c r="C196" s="2">
        <f t="shared" si="3"/>
        <v>39508</v>
      </c>
    </row>
    <row r="197" spans="1:3">
      <c r="A197" s="4">
        <v>39451</v>
      </c>
      <c r="B197" s="5">
        <v>328037</v>
      </c>
      <c r="C197" s="4">
        <f t="shared" si="3"/>
        <v>39539</v>
      </c>
    </row>
    <row r="198" spans="1:3">
      <c r="A198" s="2">
        <v>39452</v>
      </c>
      <c r="B198" s="3">
        <v>331088</v>
      </c>
      <c r="C198" s="2">
        <f t="shared" si="3"/>
        <v>39569</v>
      </c>
    </row>
    <row r="199" spans="1:3">
      <c r="A199" s="4">
        <v>39453</v>
      </c>
      <c r="B199" s="5">
        <v>331764</v>
      </c>
      <c r="C199" s="4">
        <f t="shared" si="3"/>
        <v>39600</v>
      </c>
    </row>
    <row r="200" spans="1:3">
      <c r="A200" s="2">
        <v>39454</v>
      </c>
      <c r="B200" s="3">
        <v>330301</v>
      </c>
      <c r="C200" s="2">
        <f t="shared" si="3"/>
        <v>39630</v>
      </c>
    </row>
    <row r="201" spans="1:3">
      <c r="A201" s="4">
        <v>39455</v>
      </c>
      <c r="B201" s="5">
        <v>327296</v>
      </c>
      <c r="C201" s="4">
        <f t="shared" si="3"/>
        <v>39661</v>
      </c>
    </row>
    <row r="202" spans="1:3">
      <c r="A202" s="2">
        <v>39456</v>
      </c>
      <c r="B202" s="3">
        <v>321568</v>
      </c>
      <c r="C202" s="2">
        <f t="shared" si="3"/>
        <v>39692</v>
      </c>
    </row>
    <row r="203" spans="1:3">
      <c r="A203" s="4">
        <v>39457</v>
      </c>
      <c r="B203" s="5">
        <v>308968</v>
      </c>
      <c r="C203" s="4">
        <f t="shared" si="3"/>
        <v>39722</v>
      </c>
    </row>
    <row r="204" spans="1:3">
      <c r="A204" s="2">
        <v>39458</v>
      </c>
      <c r="B204" s="3">
        <v>295396</v>
      </c>
      <c r="C204" s="2">
        <f t="shared" si="3"/>
        <v>39753</v>
      </c>
    </row>
    <row r="205" spans="1:3">
      <c r="A205" s="4">
        <v>39459</v>
      </c>
      <c r="B205" s="5">
        <v>287571</v>
      </c>
      <c r="C205" s="4">
        <f t="shared" si="3"/>
        <v>39783</v>
      </c>
    </row>
    <row r="206" spans="1:3">
      <c r="A206" s="2">
        <v>39814</v>
      </c>
      <c r="B206" s="3">
        <v>292449</v>
      </c>
      <c r="C206" s="2">
        <f t="shared" si="3"/>
        <v>39814</v>
      </c>
    </row>
    <row r="207" spans="1:3">
      <c r="A207" s="4">
        <v>39815</v>
      </c>
      <c r="B207" s="5">
        <v>291429</v>
      </c>
      <c r="C207" s="4">
        <f t="shared" si="3"/>
        <v>39845</v>
      </c>
    </row>
    <row r="208" spans="1:3">
      <c r="A208" s="2">
        <v>39816</v>
      </c>
      <c r="B208" s="3">
        <v>286022</v>
      </c>
      <c r="C208" s="2">
        <f t="shared" si="3"/>
        <v>39873</v>
      </c>
    </row>
    <row r="209" spans="1:3">
      <c r="A209" s="4">
        <v>39817</v>
      </c>
      <c r="B209" s="5">
        <v>287530</v>
      </c>
      <c r="C209" s="4">
        <f t="shared" si="3"/>
        <v>39904</v>
      </c>
    </row>
    <row r="210" spans="1:3">
      <c r="A210" s="2">
        <v>39818</v>
      </c>
      <c r="B210" s="3">
        <v>290215</v>
      </c>
      <c r="C210" s="2">
        <f t="shared" si="3"/>
        <v>39934</v>
      </c>
    </row>
    <row r="211" spans="1:3">
      <c r="A211" s="4">
        <v>39819</v>
      </c>
      <c r="B211" s="5">
        <v>295458</v>
      </c>
      <c r="C211" s="4">
        <f t="shared" si="3"/>
        <v>39965</v>
      </c>
    </row>
    <row r="212" spans="1:3">
      <c r="A212" s="2">
        <v>39820</v>
      </c>
      <c r="B212" s="3">
        <v>296928</v>
      </c>
      <c r="C212" s="2">
        <f t="shared" si="3"/>
        <v>39995</v>
      </c>
    </row>
    <row r="213" spans="1:3">
      <c r="A213" s="4">
        <v>39821</v>
      </c>
      <c r="B213" s="5">
        <v>302871</v>
      </c>
      <c r="C213" s="4">
        <f t="shared" si="3"/>
        <v>40026</v>
      </c>
    </row>
    <row r="214" spans="1:3">
      <c r="A214" s="2">
        <v>39822</v>
      </c>
      <c r="B214" s="3">
        <v>294449</v>
      </c>
      <c r="C214" s="2">
        <f t="shared" si="3"/>
        <v>40057</v>
      </c>
    </row>
    <row r="215" spans="1:3">
      <c r="A215" s="4">
        <v>39823</v>
      </c>
      <c r="B215" s="5">
        <v>298067</v>
      </c>
      <c r="C215" s="4">
        <f t="shared" si="3"/>
        <v>40087</v>
      </c>
    </row>
    <row r="216" spans="1:3">
      <c r="A216" s="2">
        <v>39824</v>
      </c>
      <c r="B216" s="3">
        <v>300583</v>
      </c>
      <c r="C216" s="2">
        <f t="shared" si="3"/>
        <v>40118</v>
      </c>
    </row>
    <row r="217" spans="1:3">
      <c r="A217" s="4">
        <v>39825</v>
      </c>
      <c r="B217" s="5">
        <v>301959</v>
      </c>
      <c r="C217" s="4">
        <f t="shared" si="3"/>
        <v>40148</v>
      </c>
    </row>
    <row r="218" spans="1:3">
      <c r="A218" s="2">
        <v>40179</v>
      </c>
      <c r="B218" s="3">
        <v>302325</v>
      </c>
      <c r="C218" s="2">
        <f t="shared" si="3"/>
        <v>40179</v>
      </c>
    </row>
    <row r="219" spans="1:3">
      <c r="A219" s="4">
        <v>40180</v>
      </c>
      <c r="B219" s="5">
        <v>302310</v>
      </c>
      <c r="C219" s="4">
        <f t="shared" si="3"/>
        <v>40210</v>
      </c>
    </row>
    <row r="220" spans="1:3">
      <c r="A220" s="2">
        <v>40181</v>
      </c>
      <c r="B220" s="3">
        <v>309525</v>
      </c>
      <c r="C220" s="2">
        <f t="shared" si="3"/>
        <v>40238</v>
      </c>
    </row>
    <row r="221" spans="1:3">
      <c r="A221" s="4">
        <v>40182</v>
      </c>
      <c r="B221" s="5">
        <v>312143</v>
      </c>
      <c r="C221" s="4">
        <f t="shared" si="3"/>
        <v>40269</v>
      </c>
    </row>
    <row r="222" spans="1:3">
      <c r="A222" s="2">
        <v>40183</v>
      </c>
      <c r="B222" s="3">
        <v>309158</v>
      </c>
      <c r="C222" s="2">
        <f t="shared" si="3"/>
        <v>40299</v>
      </c>
    </row>
    <row r="223" spans="1:3">
      <c r="A223" s="4">
        <v>40184</v>
      </c>
      <c r="B223" s="5">
        <v>308588</v>
      </c>
      <c r="C223" s="4">
        <f t="shared" si="3"/>
        <v>40330</v>
      </c>
    </row>
    <row r="224" spans="1:3">
      <c r="A224" s="2">
        <v>40185</v>
      </c>
      <c r="B224" s="3">
        <v>309543</v>
      </c>
      <c r="C224" s="2">
        <f t="shared" si="3"/>
        <v>40360</v>
      </c>
    </row>
    <row r="225" spans="1:3">
      <c r="A225" s="4">
        <v>40186</v>
      </c>
      <c r="B225" s="5">
        <v>310761</v>
      </c>
      <c r="C225" s="4">
        <f t="shared" si="3"/>
        <v>40391</v>
      </c>
    </row>
    <row r="226" spans="1:3">
      <c r="A226" s="2">
        <v>40187</v>
      </c>
      <c r="B226" s="3">
        <v>313785</v>
      </c>
      <c r="C226" s="2">
        <f t="shared" si="3"/>
        <v>40422</v>
      </c>
    </row>
    <row r="227" spans="1:3">
      <c r="A227" s="4">
        <v>40188</v>
      </c>
      <c r="B227" s="5">
        <v>317699</v>
      </c>
      <c r="C227" s="4">
        <f t="shared" si="3"/>
        <v>40452</v>
      </c>
    </row>
    <row r="228" spans="1:3">
      <c r="A228" s="2">
        <v>40189</v>
      </c>
      <c r="B228" s="3">
        <v>320695</v>
      </c>
      <c r="C228" s="2">
        <f t="shared" si="3"/>
        <v>40483</v>
      </c>
    </row>
    <row r="229" spans="1:3">
      <c r="A229" s="4">
        <v>40190</v>
      </c>
      <c r="B229" s="5">
        <v>323421</v>
      </c>
      <c r="C229" s="4">
        <f t="shared" si="3"/>
        <v>40513</v>
      </c>
    </row>
    <row r="230" spans="1:3">
      <c r="A230" s="2">
        <v>40544</v>
      </c>
      <c r="B230" s="3">
        <v>325674</v>
      </c>
      <c r="C230" s="2">
        <f t="shared" si="3"/>
        <v>40544</v>
      </c>
    </row>
    <row r="231" spans="1:3">
      <c r="A231" s="4">
        <v>40545</v>
      </c>
      <c r="B231" s="5">
        <v>328049</v>
      </c>
      <c r="C231" s="4">
        <f t="shared" si="3"/>
        <v>40575</v>
      </c>
    </row>
    <row r="232" spans="1:3">
      <c r="A232" s="2">
        <v>40546</v>
      </c>
      <c r="B232" s="3">
        <v>331161</v>
      </c>
      <c r="C232" s="2">
        <f t="shared" si="3"/>
        <v>40603</v>
      </c>
    </row>
    <row r="233" spans="1:3">
      <c r="A233" s="4">
        <v>40547</v>
      </c>
      <c r="B233" s="5">
        <v>333189</v>
      </c>
      <c r="C233" s="4">
        <f t="shared" si="3"/>
        <v>40634</v>
      </c>
    </row>
    <row r="234" spans="1:3">
      <c r="A234" s="2">
        <v>40548</v>
      </c>
      <c r="B234" s="3">
        <v>332409</v>
      </c>
      <c r="C234" s="2">
        <f t="shared" si="3"/>
        <v>40664</v>
      </c>
    </row>
    <row r="235" spans="1:3">
      <c r="A235" s="4">
        <v>40549</v>
      </c>
      <c r="B235" s="5">
        <v>335108</v>
      </c>
      <c r="C235" s="4">
        <f t="shared" si="3"/>
        <v>40695</v>
      </c>
    </row>
    <row r="236" spans="1:3">
      <c r="A236" s="2">
        <v>40550</v>
      </c>
      <c r="B236" s="3">
        <v>334922</v>
      </c>
      <c r="C236" s="2">
        <f t="shared" si="3"/>
        <v>40725</v>
      </c>
    </row>
    <row r="237" spans="1:3">
      <c r="A237" s="4">
        <v>40551</v>
      </c>
      <c r="B237" s="5">
        <v>335163</v>
      </c>
      <c r="C237" s="4">
        <f t="shared" si="3"/>
        <v>40756</v>
      </c>
    </row>
    <row r="238" spans="1:3">
      <c r="A238" s="2">
        <v>40552</v>
      </c>
      <c r="B238" s="3">
        <v>339011</v>
      </c>
      <c r="C238" s="2">
        <f t="shared" si="3"/>
        <v>40787</v>
      </c>
    </row>
    <row r="239" spans="1:3">
      <c r="A239" s="4">
        <v>40553</v>
      </c>
      <c r="B239" s="5">
        <v>341058</v>
      </c>
      <c r="C239" s="4">
        <f t="shared" si="3"/>
        <v>40817</v>
      </c>
    </row>
    <row r="240" spans="1:3">
      <c r="A240" s="2">
        <v>40554</v>
      </c>
      <c r="B240" s="3">
        <v>342214</v>
      </c>
      <c r="C240" s="2">
        <f t="shared" si="3"/>
        <v>40848</v>
      </c>
    </row>
    <row r="241" spans="1:3">
      <c r="A241" s="4">
        <v>40555</v>
      </c>
      <c r="B241" s="5">
        <v>343093</v>
      </c>
      <c r="C241" s="4">
        <f t="shared" si="3"/>
        <v>40878</v>
      </c>
    </row>
    <row r="242" spans="1:3">
      <c r="A242" s="2">
        <v>40909</v>
      </c>
      <c r="B242" s="3">
        <v>345656</v>
      </c>
      <c r="C242" s="2">
        <f t="shared" si="3"/>
        <v>40909</v>
      </c>
    </row>
    <row r="243" spans="1:3">
      <c r="A243" s="4">
        <v>40910</v>
      </c>
      <c r="B243" s="5">
        <v>350345</v>
      </c>
      <c r="C243" s="4">
        <f t="shared" si="3"/>
        <v>40940</v>
      </c>
    </row>
    <row r="244" spans="1:3">
      <c r="A244" s="2">
        <v>40911</v>
      </c>
      <c r="B244" s="3">
        <v>351748</v>
      </c>
      <c r="C244" s="2">
        <f t="shared" si="3"/>
        <v>40969</v>
      </c>
    </row>
    <row r="245" spans="1:3">
      <c r="A245" s="4">
        <v>40912</v>
      </c>
      <c r="B245" s="5">
        <v>349722</v>
      </c>
      <c r="C245" s="4">
        <f t="shared" si="3"/>
        <v>41000</v>
      </c>
    </row>
    <row r="246" spans="1:3">
      <c r="A246" s="2">
        <v>40913</v>
      </c>
      <c r="B246" s="3">
        <v>349064</v>
      </c>
      <c r="C246" s="2">
        <f t="shared" si="3"/>
        <v>41030</v>
      </c>
    </row>
    <row r="247" spans="1:3">
      <c r="A247" s="4">
        <v>40914</v>
      </c>
      <c r="B247" s="5">
        <v>345339</v>
      </c>
      <c r="C247" s="4">
        <f t="shared" si="3"/>
        <v>41061</v>
      </c>
    </row>
    <row r="248" spans="1:3">
      <c r="A248" s="2">
        <v>40915</v>
      </c>
      <c r="B248" s="3">
        <v>346936</v>
      </c>
      <c r="C248" s="2">
        <f t="shared" si="3"/>
        <v>41091</v>
      </c>
    </row>
    <row r="249" spans="1:3">
      <c r="A249" s="4">
        <v>40916</v>
      </c>
      <c r="B249" s="5">
        <v>351782</v>
      </c>
      <c r="C249" s="4">
        <f t="shared" si="3"/>
        <v>41122</v>
      </c>
    </row>
    <row r="250" spans="1:3">
      <c r="A250" s="2">
        <v>40917</v>
      </c>
      <c r="B250" s="3">
        <v>354575</v>
      </c>
      <c r="C250" s="2">
        <f t="shared" si="3"/>
        <v>41153</v>
      </c>
    </row>
    <row r="251" spans="1:3">
      <c r="A251" s="4">
        <v>40918</v>
      </c>
      <c r="B251" s="5">
        <v>354747</v>
      </c>
      <c r="C251" s="4">
        <f t="shared" si="3"/>
        <v>41183</v>
      </c>
    </row>
    <row r="252" spans="1:3">
      <c r="A252" s="2">
        <v>40919</v>
      </c>
      <c r="B252" s="3">
        <v>356158</v>
      </c>
      <c r="C252" s="2">
        <f t="shared" si="3"/>
        <v>41214</v>
      </c>
    </row>
    <row r="253" spans="1:3">
      <c r="A253" s="4">
        <v>40920</v>
      </c>
      <c r="B253" s="5">
        <v>357519</v>
      </c>
      <c r="C253" s="4">
        <f t="shared" si="3"/>
        <v>41244</v>
      </c>
    </row>
    <row r="254" spans="1:3">
      <c r="A254" s="2">
        <v>41275</v>
      </c>
      <c r="B254" s="3">
        <v>360257</v>
      </c>
      <c r="C254" s="2">
        <f t="shared" si="3"/>
        <v>41275</v>
      </c>
    </row>
    <row r="255" spans="1:3">
      <c r="A255" s="4">
        <v>41276</v>
      </c>
      <c r="B255" s="5">
        <v>365227</v>
      </c>
      <c r="C255" s="4">
        <f t="shared" si="3"/>
        <v>41306</v>
      </c>
    </row>
    <row r="256" spans="1:3">
      <c r="A256" s="2">
        <v>41277</v>
      </c>
      <c r="B256" s="3">
        <v>362148</v>
      </c>
      <c r="C256" s="2">
        <f t="shared" si="3"/>
        <v>41334</v>
      </c>
    </row>
    <row r="257" spans="1:3">
      <c r="A257" s="4">
        <v>41278</v>
      </c>
      <c r="B257" s="5">
        <v>360499</v>
      </c>
      <c r="C257" s="4">
        <f t="shared" si="3"/>
        <v>41365</v>
      </c>
    </row>
    <row r="258" spans="1:3">
      <c r="A258" s="2">
        <v>41279</v>
      </c>
      <c r="B258" s="3">
        <v>362842</v>
      </c>
      <c r="C258" s="2">
        <f t="shared" si="3"/>
        <v>41395</v>
      </c>
    </row>
    <row r="259" spans="1:3">
      <c r="A259" s="4">
        <v>41280</v>
      </c>
      <c r="B259" s="5">
        <v>364181</v>
      </c>
      <c r="C259" s="4">
        <f t="shared" ref="C259:C322" si="4">EDATE(C258,1)</f>
        <v>41426</v>
      </c>
    </row>
    <row r="260" spans="1:3">
      <c r="A260" s="2">
        <v>41281</v>
      </c>
      <c r="B260" s="3">
        <v>366243</v>
      </c>
      <c r="C260" s="2">
        <f t="shared" si="4"/>
        <v>41456</v>
      </c>
    </row>
    <row r="261" spans="1:3">
      <c r="A261" s="4">
        <v>41282</v>
      </c>
      <c r="B261" s="5">
        <v>365543</v>
      </c>
      <c r="C261" s="4">
        <f t="shared" si="4"/>
        <v>41487</v>
      </c>
    </row>
    <row r="262" spans="1:3">
      <c r="A262" s="2">
        <v>41283</v>
      </c>
      <c r="B262" s="3">
        <v>365668</v>
      </c>
      <c r="C262" s="2">
        <f t="shared" si="4"/>
        <v>41518</v>
      </c>
    </row>
    <row r="263" spans="1:3">
      <c r="A263" s="4">
        <v>41284</v>
      </c>
      <c r="B263" s="5">
        <v>366444</v>
      </c>
      <c r="C263" s="4">
        <f t="shared" si="4"/>
        <v>41548</v>
      </c>
    </row>
    <row r="264" spans="1:3">
      <c r="A264" s="2">
        <v>41285</v>
      </c>
      <c r="B264" s="3">
        <v>366868</v>
      </c>
      <c r="C264" s="2">
        <f t="shared" si="4"/>
        <v>41579</v>
      </c>
    </row>
    <row r="265" spans="1:3">
      <c r="A265" s="4">
        <v>41286</v>
      </c>
      <c r="B265" s="5">
        <v>369499</v>
      </c>
      <c r="C265" s="4">
        <f t="shared" si="4"/>
        <v>41609</v>
      </c>
    </row>
    <row r="266" spans="1:3">
      <c r="A266" s="2">
        <v>41640</v>
      </c>
      <c r="B266" s="3">
        <v>366684</v>
      </c>
      <c r="C266" s="2">
        <f t="shared" si="4"/>
        <v>41640</v>
      </c>
    </row>
    <row r="267" spans="1:3">
      <c r="A267" s="4">
        <v>41641</v>
      </c>
      <c r="B267" s="5">
        <v>371335</v>
      </c>
      <c r="C267" s="4">
        <f t="shared" si="4"/>
        <v>41671</v>
      </c>
    </row>
    <row r="268" spans="1:3">
      <c r="A268" s="2">
        <v>41642</v>
      </c>
      <c r="B268" s="3">
        <v>375285</v>
      </c>
      <c r="C268" s="2">
        <f t="shared" si="4"/>
        <v>41699</v>
      </c>
    </row>
    <row r="269" spans="1:3">
      <c r="A269" s="4">
        <v>41643</v>
      </c>
      <c r="B269" s="5">
        <v>379432</v>
      </c>
      <c r="C269" s="4">
        <f t="shared" si="4"/>
        <v>41730</v>
      </c>
    </row>
    <row r="270" spans="1:3">
      <c r="A270" s="2">
        <v>41644</v>
      </c>
      <c r="B270" s="3">
        <v>379787</v>
      </c>
      <c r="C270" s="2">
        <f t="shared" si="4"/>
        <v>41760</v>
      </c>
    </row>
    <row r="271" spans="1:3">
      <c r="A271" s="4">
        <v>41645</v>
      </c>
      <c r="B271" s="5">
        <v>380618</v>
      </c>
      <c r="C271" s="4">
        <f t="shared" si="4"/>
        <v>41791</v>
      </c>
    </row>
    <row r="272" spans="1:3">
      <c r="A272" s="2">
        <v>41646</v>
      </c>
      <c r="B272" s="3">
        <v>381045</v>
      </c>
      <c r="C272" s="2">
        <f t="shared" si="4"/>
        <v>41821</v>
      </c>
    </row>
    <row r="273" spans="1:3">
      <c r="A273" s="4">
        <v>41647</v>
      </c>
      <c r="B273" s="5">
        <v>384017</v>
      </c>
      <c r="C273" s="4">
        <f t="shared" si="4"/>
        <v>41852</v>
      </c>
    </row>
    <row r="274" spans="1:3">
      <c r="A274" s="2">
        <v>41648</v>
      </c>
      <c r="B274" s="3">
        <v>382277</v>
      </c>
      <c r="C274" s="2">
        <f t="shared" si="4"/>
        <v>41883</v>
      </c>
    </row>
    <row r="275" spans="1:3">
      <c r="A275" s="4">
        <v>41649</v>
      </c>
      <c r="B275" s="5">
        <v>383323</v>
      </c>
      <c r="C275" s="4">
        <f t="shared" si="4"/>
        <v>41913</v>
      </c>
    </row>
    <row r="276" spans="1:3">
      <c r="A276" s="2">
        <v>41650</v>
      </c>
      <c r="B276" s="3">
        <v>384459</v>
      </c>
      <c r="C276" s="2">
        <f t="shared" si="4"/>
        <v>41944</v>
      </c>
    </row>
    <row r="277" spans="1:3">
      <c r="A277" s="4">
        <v>41651</v>
      </c>
      <c r="B277" s="5">
        <v>380682</v>
      </c>
      <c r="C277" s="4">
        <f t="shared" si="4"/>
        <v>41974</v>
      </c>
    </row>
    <row r="278" spans="1:3">
      <c r="A278" s="2">
        <v>42005</v>
      </c>
      <c r="B278" s="3">
        <v>378518</v>
      </c>
      <c r="C278" s="2">
        <f t="shared" si="4"/>
        <v>42005</v>
      </c>
    </row>
    <row r="279" spans="1:3">
      <c r="A279" s="4">
        <v>42006</v>
      </c>
      <c r="B279" s="5">
        <v>377594</v>
      </c>
      <c r="C279" s="4">
        <f t="shared" si="4"/>
        <v>42036</v>
      </c>
    </row>
    <row r="280" spans="1:3">
      <c r="A280" s="2">
        <v>42007</v>
      </c>
      <c r="B280" s="3">
        <v>383681</v>
      </c>
      <c r="C280" s="2">
        <f t="shared" si="4"/>
        <v>42064</v>
      </c>
    </row>
    <row r="281" spans="1:3">
      <c r="A281" s="4">
        <v>42008</v>
      </c>
      <c r="B281" s="5">
        <v>383893</v>
      </c>
      <c r="C281" s="4">
        <f t="shared" si="4"/>
        <v>42095</v>
      </c>
    </row>
    <row r="282" spans="1:3">
      <c r="A282" s="2">
        <v>42009</v>
      </c>
      <c r="B282" s="3">
        <v>387155</v>
      </c>
      <c r="C282" s="2">
        <f t="shared" si="4"/>
        <v>42125</v>
      </c>
    </row>
    <row r="283" spans="1:3">
      <c r="A283" s="4">
        <v>42010</v>
      </c>
      <c r="B283" s="5">
        <v>387199</v>
      </c>
      <c r="C283" s="4">
        <f t="shared" si="4"/>
        <v>42156</v>
      </c>
    </row>
    <row r="284" spans="1:3">
      <c r="A284" s="2">
        <v>42011</v>
      </c>
      <c r="B284" s="3">
        <v>390953</v>
      </c>
      <c r="C284" s="2">
        <f t="shared" si="4"/>
        <v>42186</v>
      </c>
    </row>
    <row r="285" spans="1:3">
      <c r="A285" s="4">
        <v>42012</v>
      </c>
      <c r="B285" s="5">
        <v>390570</v>
      </c>
      <c r="C285" s="4">
        <f t="shared" si="4"/>
        <v>42217</v>
      </c>
    </row>
    <row r="286" spans="1:3">
      <c r="A286" s="2">
        <v>42013</v>
      </c>
      <c r="B286" s="3">
        <v>388551</v>
      </c>
      <c r="C286" s="2">
        <f t="shared" si="4"/>
        <v>42248</v>
      </c>
    </row>
    <row r="287" spans="1:3">
      <c r="A287" s="4">
        <v>42014</v>
      </c>
      <c r="B287" s="5">
        <v>387066</v>
      </c>
      <c r="C287" s="4">
        <f t="shared" si="4"/>
        <v>42278</v>
      </c>
    </row>
    <row r="288" spans="1:3">
      <c r="A288" s="2">
        <v>42015</v>
      </c>
      <c r="B288" s="3">
        <v>388530</v>
      </c>
      <c r="C288" s="2">
        <f t="shared" si="4"/>
        <v>42309</v>
      </c>
    </row>
    <row r="289" spans="1:3">
      <c r="A289" s="4">
        <v>42016</v>
      </c>
      <c r="B289" s="5">
        <v>389551</v>
      </c>
      <c r="C289" s="4">
        <f t="shared" si="4"/>
        <v>42339</v>
      </c>
    </row>
    <row r="290" spans="1:3">
      <c r="A290" s="2">
        <v>42370</v>
      </c>
      <c r="B290" s="3">
        <v>387483</v>
      </c>
      <c r="C290" s="2">
        <f t="shared" si="4"/>
        <v>42370</v>
      </c>
    </row>
    <row r="291" spans="1:3">
      <c r="A291" s="4">
        <v>42371</v>
      </c>
      <c r="B291" s="5">
        <v>390029</v>
      </c>
      <c r="C291" s="4">
        <f t="shared" si="4"/>
        <v>42401</v>
      </c>
    </row>
    <row r="292" spans="1:3">
      <c r="A292" s="2">
        <v>42372</v>
      </c>
      <c r="B292" s="3">
        <v>388998</v>
      </c>
      <c r="C292" s="2">
        <f t="shared" si="4"/>
        <v>42430</v>
      </c>
    </row>
    <row r="293" spans="1:3">
      <c r="A293" s="4">
        <v>42373</v>
      </c>
      <c r="B293" s="5">
        <v>391112</v>
      </c>
      <c r="C293" s="4">
        <f t="shared" si="4"/>
        <v>42461</v>
      </c>
    </row>
    <row r="294" spans="1:3">
      <c r="A294" s="2">
        <v>42374</v>
      </c>
      <c r="B294" s="3">
        <v>392299</v>
      </c>
      <c r="C294" s="2">
        <f t="shared" si="4"/>
        <v>42491</v>
      </c>
    </row>
    <row r="295" spans="1:3">
      <c r="A295" s="4">
        <v>42375</v>
      </c>
      <c r="B295" s="5">
        <v>397113</v>
      </c>
      <c r="C295" s="4">
        <f t="shared" si="4"/>
        <v>42522</v>
      </c>
    </row>
    <row r="296" spans="1:3">
      <c r="A296" s="2">
        <v>42376</v>
      </c>
      <c r="B296" s="3">
        <v>396545</v>
      </c>
      <c r="C296" s="2">
        <f t="shared" si="4"/>
        <v>42552</v>
      </c>
    </row>
    <row r="297" spans="1:3">
      <c r="A297" s="4">
        <v>42377</v>
      </c>
      <c r="B297" s="5">
        <v>396293</v>
      </c>
      <c r="C297" s="4">
        <f t="shared" si="4"/>
        <v>42583</v>
      </c>
    </row>
    <row r="298" spans="1:3">
      <c r="A298" s="2">
        <v>42378</v>
      </c>
      <c r="B298" s="3">
        <v>398797</v>
      </c>
      <c r="C298" s="2">
        <f t="shared" si="4"/>
        <v>42614</v>
      </c>
    </row>
    <row r="299" spans="1:3">
      <c r="A299" s="4">
        <v>42379</v>
      </c>
      <c r="B299" s="5">
        <v>399637</v>
      </c>
      <c r="C299" s="4">
        <f t="shared" si="4"/>
        <v>42644</v>
      </c>
    </row>
    <row r="300" spans="1:3">
      <c r="A300" s="2">
        <v>42380</v>
      </c>
      <c r="B300" s="3">
        <v>398680</v>
      </c>
      <c r="C300" s="2">
        <f t="shared" si="4"/>
        <v>42675</v>
      </c>
    </row>
    <row r="301" spans="1:3">
      <c r="A301" s="4">
        <v>42381</v>
      </c>
      <c r="B301" s="5">
        <v>405114</v>
      </c>
      <c r="C301" s="4">
        <f t="shared" si="4"/>
        <v>42705</v>
      </c>
    </row>
    <row r="302" spans="1:3">
      <c r="A302" s="2">
        <v>42736</v>
      </c>
      <c r="B302" s="3">
        <v>408269</v>
      </c>
      <c r="C302" s="2">
        <f t="shared" si="4"/>
        <v>42736</v>
      </c>
    </row>
    <row r="303" spans="1:3">
      <c r="A303" s="4">
        <v>42737</v>
      </c>
      <c r="B303" s="5">
        <v>408155</v>
      </c>
      <c r="C303" s="4">
        <f t="shared" si="4"/>
        <v>42767</v>
      </c>
    </row>
    <row r="304" spans="1:3">
      <c r="A304" s="2">
        <v>42738</v>
      </c>
      <c r="B304" s="3">
        <v>407630</v>
      </c>
      <c r="C304" s="2">
        <f t="shared" si="4"/>
        <v>42795</v>
      </c>
    </row>
    <row r="305" spans="1:3">
      <c r="A305" s="4">
        <v>42739</v>
      </c>
      <c r="B305" s="5">
        <v>409134</v>
      </c>
      <c r="C305" s="4">
        <f t="shared" si="4"/>
        <v>42826</v>
      </c>
    </row>
    <row r="306" spans="1:3">
      <c r="A306" s="2">
        <v>42740</v>
      </c>
      <c r="B306" s="3">
        <v>406609</v>
      </c>
      <c r="C306" s="2">
        <f t="shared" si="4"/>
        <v>42856</v>
      </c>
    </row>
    <row r="307" spans="1:3">
      <c r="A307" s="4">
        <v>42741</v>
      </c>
      <c r="B307" s="5">
        <v>409067</v>
      </c>
      <c r="C307" s="4">
        <f t="shared" si="4"/>
        <v>42887</v>
      </c>
    </row>
    <row r="308" spans="1:3">
      <c r="A308" s="2">
        <v>42742</v>
      </c>
      <c r="B308" s="3">
        <v>409113</v>
      </c>
      <c r="C308" s="2">
        <f t="shared" si="4"/>
        <v>42917</v>
      </c>
    </row>
    <row r="309" spans="1:3">
      <c r="A309" s="4">
        <v>42743</v>
      </c>
      <c r="B309" s="5">
        <v>409606</v>
      </c>
      <c r="C309" s="4">
        <f t="shared" si="4"/>
        <v>42948</v>
      </c>
    </row>
    <row r="310" spans="1:3">
      <c r="A310" s="2">
        <v>42744</v>
      </c>
      <c r="B310" s="3">
        <v>419021</v>
      </c>
      <c r="C310" s="2">
        <f t="shared" si="4"/>
        <v>42979</v>
      </c>
    </row>
    <row r="311" spans="1:3">
      <c r="A311" s="4">
        <v>42745</v>
      </c>
      <c r="B311" s="5">
        <v>418999</v>
      </c>
      <c r="C311" s="4">
        <f t="shared" si="4"/>
        <v>43009</v>
      </c>
    </row>
    <row r="312" spans="1:3">
      <c r="A312" s="2">
        <v>42746</v>
      </c>
      <c r="B312" s="3">
        <v>423224</v>
      </c>
      <c r="C312" s="2">
        <f t="shared" si="4"/>
        <v>43040</v>
      </c>
    </row>
    <row r="313" spans="1:3">
      <c r="A313" s="4">
        <v>42747</v>
      </c>
      <c r="B313" s="5">
        <v>425545</v>
      </c>
      <c r="C313" s="4">
        <f t="shared" si="4"/>
        <v>43070</v>
      </c>
    </row>
    <row r="314" spans="1:3">
      <c r="A314" s="2">
        <v>43101</v>
      </c>
      <c r="B314" s="3">
        <v>423202</v>
      </c>
      <c r="C314" s="2">
        <f t="shared" si="4"/>
        <v>43101</v>
      </c>
    </row>
    <row r="315" spans="1:3">
      <c r="A315" s="4">
        <v>43102</v>
      </c>
      <c r="B315" s="5">
        <v>425507</v>
      </c>
      <c r="C315" s="4">
        <f t="shared" si="4"/>
        <v>43132</v>
      </c>
    </row>
    <row r="316" spans="1:3">
      <c r="A316" s="2">
        <v>43103</v>
      </c>
      <c r="B316" s="3">
        <v>425087</v>
      </c>
      <c r="C316" s="2">
        <f t="shared" si="4"/>
        <v>43160</v>
      </c>
    </row>
    <row r="317" spans="1:3">
      <c r="A317" s="4">
        <v>43104</v>
      </c>
      <c r="B317" s="5">
        <v>425899</v>
      </c>
      <c r="C317" s="4">
        <f t="shared" si="4"/>
        <v>43191</v>
      </c>
    </row>
    <row r="318" spans="1:3">
      <c r="A318" s="2">
        <v>43105</v>
      </c>
      <c r="B318" s="3">
        <v>432340</v>
      </c>
      <c r="C318" s="2">
        <f t="shared" si="4"/>
        <v>43221</v>
      </c>
    </row>
    <row r="319" spans="1:3">
      <c r="A319" s="4">
        <v>43106</v>
      </c>
      <c r="B319" s="5">
        <v>430008</v>
      </c>
      <c r="C319" s="4">
        <f t="shared" si="4"/>
        <v>43252</v>
      </c>
    </row>
    <row r="320" spans="1:3">
      <c r="A320" s="2">
        <v>43107</v>
      </c>
      <c r="B320" s="3">
        <v>432070</v>
      </c>
      <c r="C320" s="2">
        <f t="shared" si="4"/>
        <v>43282</v>
      </c>
    </row>
    <row r="321" spans="1:3">
      <c r="A321" s="4">
        <v>43108</v>
      </c>
      <c r="B321" s="5">
        <v>432031</v>
      </c>
      <c r="C321" s="4">
        <f t="shared" si="4"/>
        <v>43313</v>
      </c>
    </row>
    <row r="322" spans="1:3">
      <c r="A322" s="2">
        <v>43109</v>
      </c>
      <c r="B322" s="3">
        <v>431438</v>
      </c>
      <c r="C322" s="2">
        <f t="shared" si="4"/>
        <v>43344</v>
      </c>
    </row>
    <row r="323" spans="1:3">
      <c r="A323" s="4">
        <v>43110</v>
      </c>
      <c r="B323" s="5">
        <v>435894</v>
      </c>
      <c r="C323" s="4">
        <f t="shared" ref="C323:C386" si="5">EDATE(C322,1)</f>
        <v>43374</v>
      </c>
    </row>
    <row r="324" spans="1:3">
      <c r="A324" s="2">
        <v>43111</v>
      </c>
      <c r="B324" s="3">
        <v>438612</v>
      </c>
      <c r="C324" s="2">
        <f t="shared" si="5"/>
        <v>43405</v>
      </c>
    </row>
    <row r="325" spans="1:3">
      <c r="A325" s="4">
        <v>43112</v>
      </c>
      <c r="B325" s="5">
        <v>428932</v>
      </c>
      <c r="C325" s="4">
        <f t="shared" si="5"/>
        <v>43435</v>
      </c>
    </row>
    <row r="326" spans="1:3">
      <c r="A326" s="2">
        <v>43466</v>
      </c>
      <c r="B326" s="3">
        <v>430246</v>
      </c>
      <c r="C326" s="2">
        <f t="shared" si="5"/>
        <v>43466</v>
      </c>
    </row>
    <row r="327" spans="1:3">
      <c r="A327" s="4">
        <v>43467</v>
      </c>
      <c r="B327" s="5">
        <v>431194</v>
      </c>
      <c r="C327" s="4">
        <f t="shared" si="5"/>
        <v>43497</v>
      </c>
    </row>
    <row r="328" spans="1:3">
      <c r="A328" s="2">
        <v>43468</v>
      </c>
      <c r="B328" s="3">
        <v>438196</v>
      </c>
      <c r="C328" s="2">
        <f t="shared" si="5"/>
        <v>43525</v>
      </c>
    </row>
    <row r="329" spans="1:3">
      <c r="A329" s="4">
        <v>43469</v>
      </c>
      <c r="B329" s="5">
        <v>437735</v>
      </c>
      <c r="C329" s="4">
        <f t="shared" si="5"/>
        <v>43556</v>
      </c>
    </row>
    <row r="330" spans="1:3">
      <c r="A330" s="2">
        <v>43470</v>
      </c>
      <c r="B330" s="3">
        <v>442514</v>
      </c>
      <c r="C330" s="2">
        <f t="shared" si="5"/>
        <v>43586</v>
      </c>
    </row>
    <row r="331" spans="1:3">
      <c r="A331" s="4">
        <v>43471</v>
      </c>
      <c r="B331" s="5">
        <v>442116</v>
      </c>
      <c r="C331" s="4">
        <f t="shared" si="5"/>
        <v>43617</v>
      </c>
    </row>
    <row r="332" spans="1:3">
      <c r="A332" s="2">
        <v>43472</v>
      </c>
      <c r="B332" s="3">
        <v>445304</v>
      </c>
      <c r="C332" s="2">
        <f t="shared" si="5"/>
        <v>43647</v>
      </c>
    </row>
    <row r="333" spans="1:3">
      <c r="A333" s="4">
        <v>43473</v>
      </c>
      <c r="B333" s="5">
        <v>448519</v>
      </c>
      <c r="C333" s="4">
        <f t="shared" si="5"/>
        <v>43678</v>
      </c>
    </row>
    <row r="334" spans="1:3">
      <c r="A334" s="2">
        <v>43474</v>
      </c>
      <c r="B334" s="3">
        <v>444555</v>
      </c>
      <c r="C334" s="2">
        <f t="shared" si="5"/>
        <v>43709</v>
      </c>
    </row>
    <row r="335" spans="1:3">
      <c r="A335" s="4">
        <v>43475</v>
      </c>
      <c r="B335" s="5">
        <v>445627</v>
      </c>
      <c r="C335" s="4">
        <f t="shared" si="5"/>
        <v>43739</v>
      </c>
    </row>
    <row r="336" spans="1:3">
      <c r="A336" s="2">
        <v>43476</v>
      </c>
      <c r="B336" s="3">
        <v>449040</v>
      </c>
      <c r="C336" s="2">
        <f t="shared" si="5"/>
        <v>43770</v>
      </c>
    </row>
    <row r="337" spans="1:3">
      <c r="A337" s="4">
        <v>43477</v>
      </c>
      <c r="B337" s="5">
        <v>449643</v>
      </c>
      <c r="C337" s="4">
        <f t="shared" si="5"/>
        <v>43800</v>
      </c>
    </row>
    <row r="338" spans="1:3">
      <c r="A338" s="2">
        <v>43831</v>
      </c>
      <c r="B338" s="3">
        <v>447774</v>
      </c>
      <c r="C338" s="2">
        <f t="shared" si="5"/>
        <v>43831</v>
      </c>
    </row>
    <row r="339" spans="1:3">
      <c r="A339" s="4">
        <v>43832</v>
      </c>
      <c r="B339" s="5">
        <v>447972</v>
      </c>
      <c r="C339" s="4">
        <f t="shared" si="5"/>
        <v>43862</v>
      </c>
    </row>
    <row r="340" spans="1:3">
      <c r="A340" s="2">
        <v>43833</v>
      </c>
      <c r="B340" s="3">
        <v>420954</v>
      </c>
      <c r="C340" s="2">
        <f t="shared" si="5"/>
        <v>43891</v>
      </c>
    </row>
    <row r="341" spans="1:3">
      <c r="A341" s="4">
        <v>43834</v>
      </c>
      <c r="B341" s="5">
        <v>370296</v>
      </c>
      <c r="C341" s="4">
        <f t="shared" si="5"/>
        <v>43922</v>
      </c>
    </row>
    <row r="342" spans="1:3">
      <c r="A342" s="2">
        <v>43835</v>
      </c>
      <c r="B342" s="3">
        <v>437957</v>
      </c>
      <c r="C342" s="2">
        <f t="shared" si="5"/>
        <v>43952</v>
      </c>
    </row>
    <row r="343" spans="1:3">
      <c r="A343" s="4">
        <v>43836</v>
      </c>
      <c r="B343" s="5">
        <v>465800</v>
      </c>
      <c r="C343" s="4">
        <f t="shared" si="5"/>
        <v>43983</v>
      </c>
    </row>
    <row r="344" spans="1:3">
      <c r="A344" s="2">
        <v>43837</v>
      </c>
      <c r="B344" s="3">
        <v>471873</v>
      </c>
      <c r="C344" s="2">
        <f t="shared" si="5"/>
        <v>44013</v>
      </c>
    </row>
    <row r="345" spans="1:3">
      <c r="A345" s="4">
        <v>43838</v>
      </c>
      <c r="B345" s="5">
        <v>473696</v>
      </c>
      <c r="C345" s="4">
        <f t="shared" si="5"/>
        <v>44044</v>
      </c>
    </row>
    <row r="346" spans="1:3">
      <c r="A346" s="2">
        <v>43839</v>
      </c>
      <c r="B346" s="3">
        <v>482702</v>
      </c>
      <c r="C346" s="2">
        <f t="shared" si="5"/>
        <v>44075</v>
      </c>
    </row>
    <row r="347" spans="1:3">
      <c r="A347" s="4">
        <v>43840</v>
      </c>
      <c r="B347" s="5">
        <v>480763</v>
      </c>
      <c r="C347" s="4">
        <f t="shared" si="5"/>
        <v>44105</v>
      </c>
    </row>
    <row r="348" spans="1:3">
      <c r="A348" s="2">
        <v>43841</v>
      </c>
      <c r="B348" s="3">
        <v>478079</v>
      </c>
      <c r="C348" s="2">
        <f t="shared" si="5"/>
        <v>44136</v>
      </c>
    </row>
    <row r="349" spans="1:3">
      <c r="A349" s="4">
        <v>43842</v>
      </c>
      <c r="B349" s="5">
        <v>485949</v>
      </c>
      <c r="C349" s="4">
        <f t="shared" si="5"/>
        <v>44166</v>
      </c>
    </row>
    <row r="350" spans="1:3">
      <c r="A350" s="2">
        <v>44197</v>
      </c>
      <c r="B350" s="3">
        <v>501604</v>
      </c>
      <c r="C350" s="2">
        <f t="shared" si="5"/>
        <v>44197</v>
      </c>
    </row>
    <row r="351" spans="1:3">
      <c r="A351" s="4">
        <v>44198</v>
      </c>
      <c r="B351" s="5">
        <v>488805</v>
      </c>
      <c r="C351" s="4">
        <f t="shared" si="5"/>
        <v>44228</v>
      </c>
    </row>
    <row r="352" spans="1:3">
      <c r="A352" s="2">
        <v>44199</v>
      </c>
      <c r="B352" s="3">
        <v>539607</v>
      </c>
      <c r="C352" s="2">
        <f t="shared" si="5"/>
        <v>44256</v>
      </c>
    </row>
    <row r="353" spans="1:3">
      <c r="A353" s="4">
        <v>44200</v>
      </c>
      <c r="B353" s="5">
        <v>542199</v>
      </c>
      <c r="C353" s="4">
        <f t="shared" si="5"/>
        <v>44287</v>
      </c>
    </row>
    <row r="354" spans="1:3">
      <c r="A354" s="2">
        <v>44201</v>
      </c>
      <c r="B354" s="3">
        <v>536589</v>
      </c>
      <c r="C354" s="2">
        <f t="shared" si="5"/>
        <v>44317</v>
      </c>
    </row>
    <row r="355" spans="1:3">
      <c r="A355" s="4">
        <v>44202</v>
      </c>
      <c r="B355" s="5">
        <v>540152</v>
      </c>
      <c r="C355" s="4">
        <f t="shared" si="5"/>
        <v>44348</v>
      </c>
    </row>
    <row r="356" spans="1:3">
      <c r="A356" s="2">
        <v>44203</v>
      </c>
      <c r="B356" s="3">
        <v>528600</v>
      </c>
      <c r="C356" s="2">
        <f t="shared" si="5"/>
        <v>44378</v>
      </c>
    </row>
    <row r="357" spans="1:3">
      <c r="A357" s="4">
        <v>44204</v>
      </c>
      <c r="B357" s="5">
        <v>532477</v>
      </c>
      <c r="C357" s="4">
        <f t="shared" si="5"/>
        <v>44409</v>
      </c>
    </row>
    <row r="358" spans="1:3">
      <c r="A358" s="2">
        <v>44205</v>
      </c>
      <c r="B358" s="3">
        <v>536651</v>
      </c>
      <c r="C358" s="2">
        <f t="shared" si="5"/>
        <v>44440</v>
      </c>
    </row>
    <row r="359" spans="1:3">
      <c r="A359" s="4">
        <v>44206</v>
      </c>
      <c r="B359" s="5">
        <v>545361</v>
      </c>
      <c r="C359" s="4">
        <f t="shared" si="5"/>
        <v>44470</v>
      </c>
    </row>
    <row r="360" spans="1:3">
      <c r="A360" s="2">
        <v>44207</v>
      </c>
      <c r="B360" s="3">
        <v>551082</v>
      </c>
      <c r="C360" s="2">
        <f t="shared" si="5"/>
        <v>44501</v>
      </c>
    </row>
    <row r="361" spans="1:3">
      <c r="A361" s="4">
        <v>44208</v>
      </c>
      <c r="B361" s="5">
        <v>547277</v>
      </c>
      <c r="C361" s="4">
        <f t="shared" si="5"/>
        <v>44531</v>
      </c>
    </row>
    <row r="362" spans="1:3">
      <c r="A362" s="2">
        <v>44562</v>
      </c>
      <c r="B362" s="3">
        <v>560257</v>
      </c>
      <c r="C362" s="2">
        <f t="shared" si="5"/>
        <v>44562</v>
      </c>
    </row>
    <row r="363" spans="1:3">
      <c r="A363" s="4">
        <v>44563</v>
      </c>
      <c r="B363" s="5">
        <v>563777</v>
      </c>
      <c r="C363" s="4">
        <f t="shared" si="5"/>
        <v>44593</v>
      </c>
    </row>
    <row r="364" spans="1:3">
      <c r="A364" s="2">
        <v>44564</v>
      </c>
      <c r="B364" s="3">
        <v>574485</v>
      </c>
      <c r="C364" s="2">
        <f t="shared" si="5"/>
        <v>44621</v>
      </c>
    </row>
    <row r="365" spans="1:3">
      <c r="A365" s="4">
        <v>44565</v>
      </c>
      <c r="B365" s="5">
        <v>580943</v>
      </c>
      <c r="C365" s="4">
        <f t="shared" si="5"/>
        <v>44652</v>
      </c>
    </row>
    <row r="366" spans="1:3">
      <c r="A366" s="2">
        <v>44566</v>
      </c>
      <c r="B366" s="3">
        <v>579844</v>
      </c>
      <c r="C366" s="2">
        <f t="shared" si="5"/>
        <v>44682</v>
      </c>
    </row>
    <row r="367" spans="1:3">
      <c r="A367" s="4">
        <v>44567</v>
      </c>
      <c r="B367" s="5">
        <v>585556</v>
      </c>
      <c r="C367" s="4">
        <f t="shared" si="5"/>
        <v>44713</v>
      </c>
    </row>
    <row r="368" spans="1:3">
      <c r="A368" s="2">
        <v>44568</v>
      </c>
      <c r="B368" s="3">
        <v>579267</v>
      </c>
      <c r="C368" s="2">
        <f t="shared" si="5"/>
        <v>44743</v>
      </c>
    </row>
    <row r="369" spans="1:3">
      <c r="A369" s="4">
        <v>44569</v>
      </c>
      <c r="B369" s="5">
        <v>581196</v>
      </c>
      <c r="C369" s="4">
        <f t="shared" si="5"/>
        <v>44774</v>
      </c>
    </row>
    <row r="370" spans="1:3">
      <c r="A370" s="2">
        <v>44570</v>
      </c>
      <c r="B370" s="3">
        <v>579446</v>
      </c>
      <c r="C370" s="2">
        <f t="shared" si="5"/>
        <v>44805</v>
      </c>
    </row>
    <row r="371" spans="1:3">
      <c r="A371" s="4">
        <v>44571</v>
      </c>
      <c r="B371" s="5">
        <v>585006</v>
      </c>
      <c r="C371" s="4">
        <f t="shared" si="5"/>
        <v>44835</v>
      </c>
    </row>
    <row r="372" spans="1:3">
      <c r="A372" s="2">
        <v>44572</v>
      </c>
      <c r="B372" s="3">
        <v>576356</v>
      </c>
      <c r="C372" s="2">
        <f t="shared" si="5"/>
        <v>44866</v>
      </c>
    </row>
    <row r="373" spans="1:3">
      <c r="A373" s="4">
        <v>44573</v>
      </c>
      <c r="B373" s="5">
        <v>569119</v>
      </c>
      <c r="C373" s="4">
        <f t="shared" si="5"/>
        <v>44896</v>
      </c>
    </row>
    <row r="374" spans="1:3">
      <c r="A374" s="2">
        <v>44927</v>
      </c>
      <c r="B374" s="3">
        <v>591964</v>
      </c>
      <c r="C374" s="2">
        <f t="shared" si="5"/>
        <v>44927</v>
      </c>
    </row>
    <row r="375" spans="1:3">
      <c r="A375" s="4">
        <v>44928</v>
      </c>
      <c r="B375" s="5">
        <v>586165</v>
      </c>
      <c r="C375" s="4">
        <f t="shared" si="5"/>
        <v>44958</v>
      </c>
    </row>
    <row r="376" spans="1:3">
      <c r="A376" s="2">
        <v>44929</v>
      </c>
      <c r="B376" s="3">
        <v>578812</v>
      </c>
      <c r="C376" s="2">
        <f t="shared" si="5"/>
        <v>44986</v>
      </c>
    </row>
    <row r="377" spans="1:3">
      <c r="A377" s="4">
        <v>44930</v>
      </c>
      <c r="B377" s="5">
        <v>583874</v>
      </c>
      <c r="C377" s="4">
        <f t="shared" si="5"/>
        <v>45017</v>
      </c>
    </row>
    <row r="378" spans="1:3">
      <c r="A378" s="2">
        <v>44931</v>
      </c>
      <c r="B378" s="3">
        <v>586286</v>
      </c>
      <c r="C378" s="2">
        <f t="shared" si="5"/>
        <v>45047</v>
      </c>
    </row>
    <row r="379" spans="1:3">
      <c r="A379" s="4">
        <v>44932</v>
      </c>
      <c r="B379" s="5">
        <v>588670</v>
      </c>
      <c r="C379" s="4">
        <f t="shared" si="5"/>
        <v>45078</v>
      </c>
    </row>
    <row r="380" spans="1:3">
      <c r="A380" s="2">
        <v>44933</v>
      </c>
      <c r="B380" s="3">
        <v>589257</v>
      </c>
      <c r="C380" s="2">
        <f t="shared" si="5"/>
        <v>45108</v>
      </c>
    </row>
    <row r="381" spans="1:3">
      <c r="A381" s="4">
        <v>44934</v>
      </c>
      <c r="B381" s="5">
        <v>595191</v>
      </c>
      <c r="C381" s="4">
        <f t="shared" si="5"/>
        <v>45139</v>
      </c>
    </row>
    <row r="382" spans="1:3">
      <c r="A382" s="2">
        <v>44935</v>
      </c>
      <c r="B382" s="3">
        <v>598956</v>
      </c>
      <c r="C382" s="2">
        <f t="shared" si="5"/>
        <v>45170</v>
      </c>
    </row>
    <row r="383" spans="1:3">
      <c r="A383" s="4">
        <v>44936</v>
      </c>
      <c r="B383" s="5">
        <v>595517</v>
      </c>
      <c r="C383" s="4">
        <f t="shared" si="5"/>
        <v>45200</v>
      </c>
    </row>
    <row r="384" spans="1:3">
      <c r="A384" s="2">
        <v>44937</v>
      </c>
      <c r="B384" s="3">
        <v>593567</v>
      </c>
      <c r="C384" s="2">
        <f t="shared" si="5"/>
        <v>45231</v>
      </c>
    </row>
    <row r="385" spans="1:3">
      <c r="A385" s="4">
        <v>44938</v>
      </c>
      <c r="B385" s="5">
        <v>594256</v>
      </c>
      <c r="C385" s="4">
        <f t="shared" si="5"/>
        <v>45261</v>
      </c>
    </row>
    <row r="386" spans="1:3">
      <c r="A386" s="2">
        <v>45292</v>
      </c>
      <c r="B386" s="3">
        <v>588944</v>
      </c>
      <c r="C386" s="2">
        <f t="shared" si="5"/>
        <v>45292</v>
      </c>
    </row>
    <row r="387" spans="1:3">
      <c r="A387" s="4">
        <v>45293</v>
      </c>
      <c r="B387" s="5">
        <v>593206</v>
      </c>
      <c r="C387" s="4">
        <f t="shared" ref="C387:C404" si="6">EDATE(C386,1)</f>
        <v>45323</v>
      </c>
    </row>
    <row r="388" spans="1:3">
      <c r="A388" s="2">
        <v>45294</v>
      </c>
      <c r="B388" s="3">
        <v>595969</v>
      </c>
      <c r="C388" s="2">
        <f t="shared" si="6"/>
        <v>45352</v>
      </c>
    </row>
    <row r="389" spans="1:3">
      <c r="A389" s="4">
        <v>45295</v>
      </c>
      <c r="B389" s="5">
        <v>595676</v>
      </c>
      <c r="C389" s="4">
        <f t="shared" si="6"/>
        <v>45383</v>
      </c>
    </row>
    <row r="390" spans="1:3">
      <c r="A390" s="2">
        <v>45296</v>
      </c>
      <c r="B390" s="3">
        <v>600372</v>
      </c>
      <c r="C390" s="2">
        <f t="shared" si="6"/>
        <v>45413</v>
      </c>
    </row>
    <row r="391" spans="1:3">
      <c r="A391" s="4">
        <v>45297</v>
      </c>
      <c r="B391" s="5">
        <v>599979</v>
      </c>
      <c r="C391" s="4">
        <f t="shared" si="6"/>
        <v>45444</v>
      </c>
    </row>
    <row r="392" spans="1:3">
      <c r="A392" s="2">
        <v>45298</v>
      </c>
      <c r="B392" s="3">
        <v>605797</v>
      </c>
      <c r="C392" s="2">
        <f t="shared" si="6"/>
        <v>45474</v>
      </c>
    </row>
    <row r="393" spans="1:3">
      <c r="A393" s="4">
        <v>45299</v>
      </c>
      <c r="B393" s="5">
        <v>604173</v>
      </c>
      <c r="C393" s="4">
        <f t="shared" si="6"/>
        <v>45505</v>
      </c>
    </row>
    <row r="394" spans="1:3">
      <c r="A394" s="2">
        <v>45300</v>
      </c>
      <c r="B394" s="3">
        <v>608701</v>
      </c>
      <c r="C394" s="2">
        <f t="shared" si="6"/>
        <v>45536</v>
      </c>
    </row>
    <row r="395" spans="1:3">
      <c r="A395" s="4">
        <v>45301</v>
      </c>
      <c r="B395" s="5">
        <v>612570</v>
      </c>
      <c r="C395" s="4">
        <f t="shared" si="6"/>
        <v>45566</v>
      </c>
    </row>
    <row r="396" spans="1:3">
      <c r="A396" s="2">
        <v>45302</v>
      </c>
      <c r="B396" s="3">
        <v>616833</v>
      </c>
      <c r="C396" s="2">
        <f t="shared" si="6"/>
        <v>45597</v>
      </c>
    </row>
    <row r="397" spans="1:3">
      <c r="A397" s="4">
        <v>45303</v>
      </c>
      <c r="B397" s="5">
        <v>622396</v>
      </c>
      <c r="C397" s="4">
        <f t="shared" si="6"/>
        <v>45627</v>
      </c>
    </row>
    <row r="398" spans="1:3">
      <c r="A398" s="2">
        <v>45658</v>
      </c>
      <c r="B398" s="3">
        <v>615973</v>
      </c>
      <c r="C398" s="2">
        <f t="shared" si="6"/>
        <v>45658</v>
      </c>
    </row>
    <row r="399" spans="1:3">
      <c r="A399" s="4">
        <v>45659</v>
      </c>
      <c r="B399" s="5">
        <v>616714</v>
      </c>
      <c r="C399" s="4">
        <f t="shared" si="6"/>
        <v>45689</v>
      </c>
    </row>
    <row r="400" spans="1:3">
      <c r="A400" s="2">
        <v>45660</v>
      </c>
      <c r="B400" s="3">
        <v>625121</v>
      </c>
      <c r="C400" s="2">
        <f t="shared" si="6"/>
        <v>45717</v>
      </c>
    </row>
    <row r="401" spans="1:3">
      <c r="A401" s="4">
        <v>45661</v>
      </c>
      <c r="B401" s="5">
        <v>623521</v>
      </c>
      <c r="C401" s="4">
        <f t="shared" si="6"/>
        <v>45748</v>
      </c>
    </row>
    <row r="402" spans="1:3">
      <c r="A402" s="2">
        <v>45662</v>
      </c>
      <c r="B402" s="3">
        <v>618037</v>
      </c>
      <c r="C402" s="2">
        <f t="shared" si="6"/>
        <v>45778</v>
      </c>
    </row>
    <row r="403" spans="1:3">
      <c r="A403" s="4">
        <v>45663</v>
      </c>
      <c r="B403" s="5">
        <v>623882</v>
      </c>
      <c r="C403" s="4">
        <f t="shared" si="6"/>
        <v>45809</v>
      </c>
    </row>
    <row r="404" spans="1:3">
      <c r="A404" s="2">
        <v>45664</v>
      </c>
      <c r="B404" s="3">
        <v>627979</v>
      </c>
      <c r="C404" s="2">
        <f t="shared" si="6"/>
        <v>45839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8.5703125" defaultRowHeight="14.25"/>
  <sheetData>
    <row r="1" spans="1:1">
      <c r="A1" s="12" t="s">
        <v>34</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8BFE-BABC-449A-9F99-576D6F38C546}">
  <dimension ref="A1:E505"/>
  <sheetViews>
    <sheetView workbookViewId="0"/>
  </sheetViews>
  <sheetFormatPr defaultRowHeight="14.25"/>
  <sheetData>
    <row r="1" spans="1:5">
      <c r="A1" t="s">
        <v>1</v>
      </c>
      <c r="B1" t="s">
        <v>2</v>
      </c>
      <c r="C1" t="s">
        <v>3</v>
      </c>
      <c r="D1" t="s">
        <v>4</v>
      </c>
      <c r="E1" t="s">
        <v>5</v>
      </c>
    </row>
    <row r="2" spans="1:5">
      <c r="A2">
        <v>33604</v>
      </c>
      <c r="B2">
        <v>142419</v>
      </c>
    </row>
    <row r="3" spans="1:5">
      <c r="A3">
        <v>33635</v>
      </c>
      <c r="B3">
        <v>142584</v>
      </c>
    </row>
    <row r="4" spans="1:5">
      <c r="A4">
        <v>33664</v>
      </c>
      <c r="B4">
        <v>142120</v>
      </c>
    </row>
    <row r="5" spans="1:5">
      <c r="A5">
        <v>33695</v>
      </c>
      <c r="B5">
        <v>143659</v>
      </c>
    </row>
    <row r="6" spans="1:5">
      <c r="A6">
        <v>33725</v>
      </c>
      <c r="B6">
        <v>144239</v>
      </c>
    </row>
    <row r="7" spans="1:5">
      <c r="A7">
        <v>33756</v>
      </c>
      <c r="B7">
        <v>145273</v>
      </c>
    </row>
    <row r="8" spans="1:5">
      <c r="A8">
        <v>33786</v>
      </c>
      <c r="B8">
        <v>146743</v>
      </c>
    </row>
    <row r="9" spans="1:5">
      <c r="A9">
        <v>33817</v>
      </c>
      <c r="B9">
        <v>146070</v>
      </c>
    </row>
    <row r="10" spans="1:5">
      <c r="A10">
        <v>33848</v>
      </c>
      <c r="B10">
        <v>147932</v>
      </c>
    </row>
    <row r="11" spans="1:5">
      <c r="A11">
        <v>33878</v>
      </c>
      <c r="B11">
        <v>149346</v>
      </c>
    </row>
    <row r="12" spans="1:5">
      <c r="A12">
        <v>33909</v>
      </c>
      <c r="B12">
        <v>149131</v>
      </c>
    </row>
    <row r="13" spans="1:5">
      <c r="A13">
        <v>33939</v>
      </c>
      <c r="B13">
        <v>150578</v>
      </c>
    </row>
    <row r="14" spans="1:5">
      <c r="A14">
        <v>33970</v>
      </c>
      <c r="B14">
        <v>152329</v>
      </c>
    </row>
    <row r="15" spans="1:5">
      <c r="A15">
        <v>34001</v>
      </c>
      <c r="B15">
        <v>151742</v>
      </c>
    </row>
    <row r="16" spans="1:5">
      <c r="A16">
        <v>34029</v>
      </c>
      <c r="B16">
        <v>150525</v>
      </c>
    </row>
    <row r="17" spans="1:2">
      <c r="A17">
        <v>34060</v>
      </c>
      <c r="B17">
        <v>154720</v>
      </c>
    </row>
    <row r="18" spans="1:2">
      <c r="A18">
        <v>34090</v>
      </c>
      <c r="B18">
        <v>155537</v>
      </c>
    </row>
    <row r="19" spans="1:2">
      <c r="A19">
        <v>34121</v>
      </c>
      <c r="B19">
        <v>155353</v>
      </c>
    </row>
    <row r="20" spans="1:2">
      <c r="A20">
        <v>34151</v>
      </c>
      <c r="B20">
        <v>158267</v>
      </c>
    </row>
    <row r="21" spans="1:2">
      <c r="A21">
        <v>34182</v>
      </c>
      <c r="B21">
        <v>157425</v>
      </c>
    </row>
    <row r="22" spans="1:2">
      <c r="A22">
        <v>34213</v>
      </c>
      <c r="B22">
        <v>158535</v>
      </c>
    </row>
    <row r="23" spans="1:2">
      <c r="A23">
        <v>34243</v>
      </c>
      <c r="B23">
        <v>159773</v>
      </c>
    </row>
    <row r="24" spans="1:2">
      <c r="A24">
        <v>34274</v>
      </c>
      <c r="B24">
        <v>162004</v>
      </c>
    </row>
    <row r="25" spans="1:2">
      <c r="A25">
        <v>34304</v>
      </c>
      <c r="B25">
        <v>163258</v>
      </c>
    </row>
    <row r="26" spans="1:2">
      <c r="A26">
        <v>34335</v>
      </c>
      <c r="B26">
        <v>162369</v>
      </c>
    </row>
    <row r="27" spans="1:2">
      <c r="A27">
        <v>34366</v>
      </c>
      <c r="B27">
        <v>165075</v>
      </c>
    </row>
    <row r="28" spans="1:2">
      <c r="A28">
        <v>34394</v>
      </c>
      <c r="B28">
        <v>168330</v>
      </c>
    </row>
    <row r="29" spans="1:2">
      <c r="A29">
        <v>34425</v>
      </c>
      <c r="B29">
        <v>168262</v>
      </c>
    </row>
    <row r="30" spans="1:2">
      <c r="A30">
        <v>34455</v>
      </c>
      <c r="B30">
        <v>167412</v>
      </c>
    </row>
    <row r="31" spans="1:2">
      <c r="A31">
        <v>34486</v>
      </c>
      <c r="B31">
        <v>169337</v>
      </c>
    </row>
    <row r="32" spans="1:2">
      <c r="A32">
        <v>34516</v>
      </c>
      <c r="B32">
        <v>169514</v>
      </c>
    </row>
    <row r="33" spans="1:2">
      <c r="A33">
        <v>34547</v>
      </c>
      <c r="B33">
        <v>172332</v>
      </c>
    </row>
    <row r="34" spans="1:2">
      <c r="A34">
        <v>34578</v>
      </c>
      <c r="B34">
        <v>174018</v>
      </c>
    </row>
    <row r="35" spans="1:2">
      <c r="A35">
        <v>34608</v>
      </c>
      <c r="B35">
        <v>175309</v>
      </c>
    </row>
    <row r="36" spans="1:2">
      <c r="A36">
        <v>34639</v>
      </c>
      <c r="B36">
        <v>175761</v>
      </c>
    </row>
    <row r="37" spans="1:2">
      <c r="A37">
        <v>34669</v>
      </c>
      <c r="B37">
        <v>176168</v>
      </c>
    </row>
    <row r="38" spans="1:2">
      <c r="A38">
        <v>34700</v>
      </c>
      <c r="B38">
        <v>177136</v>
      </c>
    </row>
    <row r="39" spans="1:2">
      <c r="A39">
        <v>34731</v>
      </c>
      <c r="B39">
        <v>174560</v>
      </c>
    </row>
    <row r="40" spans="1:2">
      <c r="A40">
        <v>34759</v>
      </c>
      <c r="B40">
        <v>176376</v>
      </c>
    </row>
    <row r="41" spans="1:2">
      <c r="A41">
        <v>34790</v>
      </c>
      <c r="B41">
        <v>176353</v>
      </c>
    </row>
    <row r="42" spans="1:2">
      <c r="A42">
        <v>34820</v>
      </c>
      <c r="B42">
        <v>179020</v>
      </c>
    </row>
    <row r="43" spans="1:2">
      <c r="A43">
        <v>34851</v>
      </c>
      <c r="B43">
        <v>181382</v>
      </c>
    </row>
    <row r="44" spans="1:2">
      <c r="A44">
        <v>34881</v>
      </c>
      <c r="B44">
        <v>180019</v>
      </c>
    </row>
    <row r="45" spans="1:2">
      <c r="A45">
        <v>34912</v>
      </c>
      <c r="B45">
        <v>181787</v>
      </c>
    </row>
    <row r="46" spans="1:2">
      <c r="A46">
        <v>34943</v>
      </c>
      <c r="B46">
        <v>182074</v>
      </c>
    </row>
    <row r="47" spans="1:2">
      <c r="A47">
        <v>34973</v>
      </c>
      <c r="B47">
        <v>181411</v>
      </c>
    </row>
    <row r="48" spans="1:2">
      <c r="A48">
        <v>35004</v>
      </c>
      <c r="B48">
        <v>184327</v>
      </c>
    </row>
    <row r="49" spans="1:2">
      <c r="A49">
        <v>35034</v>
      </c>
      <c r="B49">
        <v>184841</v>
      </c>
    </row>
    <row r="50" spans="1:2">
      <c r="A50">
        <v>35065</v>
      </c>
      <c r="B50">
        <v>184636</v>
      </c>
    </row>
    <row r="51" spans="1:2">
      <c r="A51">
        <v>35096</v>
      </c>
      <c r="B51">
        <v>187576</v>
      </c>
    </row>
    <row r="52" spans="1:2">
      <c r="A52">
        <v>35125</v>
      </c>
      <c r="B52">
        <v>188237</v>
      </c>
    </row>
    <row r="53" spans="1:2">
      <c r="A53">
        <v>35156</v>
      </c>
      <c r="B53">
        <v>189778</v>
      </c>
    </row>
    <row r="54" spans="1:2">
      <c r="A54">
        <v>35186</v>
      </c>
      <c r="B54">
        <v>191544</v>
      </c>
    </row>
    <row r="55" spans="1:2">
      <c r="A55">
        <v>35217</v>
      </c>
      <c r="B55">
        <v>189960</v>
      </c>
    </row>
    <row r="56" spans="1:2">
      <c r="A56">
        <v>35247</v>
      </c>
      <c r="B56">
        <v>191113</v>
      </c>
    </row>
    <row r="57" spans="1:2">
      <c r="A57">
        <v>35278</v>
      </c>
      <c r="B57">
        <v>191139</v>
      </c>
    </row>
    <row r="58" spans="1:2">
      <c r="A58">
        <v>35309</v>
      </c>
      <c r="B58">
        <v>193303</v>
      </c>
    </row>
    <row r="59" spans="1:2">
      <c r="A59">
        <v>35339</v>
      </c>
      <c r="B59">
        <v>195420</v>
      </c>
    </row>
    <row r="60" spans="1:2">
      <c r="A60">
        <v>35370</v>
      </c>
      <c r="B60">
        <v>194860</v>
      </c>
    </row>
    <row r="61" spans="1:2">
      <c r="A61">
        <v>35400</v>
      </c>
      <c r="B61">
        <v>195318</v>
      </c>
    </row>
    <row r="62" spans="1:2">
      <c r="A62">
        <v>35431</v>
      </c>
      <c r="B62">
        <v>197447</v>
      </c>
    </row>
    <row r="63" spans="1:2">
      <c r="A63">
        <v>35462</v>
      </c>
      <c r="B63">
        <v>198891</v>
      </c>
    </row>
    <row r="64" spans="1:2">
      <c r="A64">
        <v>35490</v>
      </c>
      <c r="B64">
        <v>200352</v>
      </c>
    </row>
    <row r="65" spans="1:2">
      <c r="A65">
        <v>35521</v>
      </c>
      <c r="B65">
        <v>197212</v>
      </c>
    </row>
    <row r="66" spans="1:2">
      <c r="A66">
        <v>35551</v>
      </c>
      <c r="B66">
        <v>196937</v>
      </c>
    </row>
    <row r="67" spans="1:2">
      <c r="A67">
        <v>35582</v>
      </c>
      <c r="B67">
        <v>199311</v>
      </c>
    </row>
    <row r="68" spans="1:2">
      <c r="A68">
        <v>35612</v>
      </c>
      <c r="B68">
        <v>201751</v>
      </c>
    </row>
    <row r="69" spans="1:2">
      <c r="A69">
        <v>35643</v>
      </c>
      <c r="B69">
        <v>201892</v>
      </c>
    </row>
    <row r="70" spans="1:2">
      <c r="A70">
        <v>35674</v>
      </c>
      <c r="B70">
        <v>202992</v>
      </c>
    </row>
    <row r="71" spans="1:2">
      <c r="A71">
        <v>35704</v>
      </c>
      <c r="B71">
        <v>203055</v>
      </c>
    </row>
    <row r="72" spans="1:2">
      <c r="A72">
        <v>35735</v>
      </c>
      <c r="B72">
        <v>202778</v>
      </c>
    </row>
    <row r="73" spans="1:2">
      <c r="A73">
        <v>35765</v>
      </c>
      <c r="B73">
        <v>203837</v>
      </c>
    </row>
    <row r="74" spans="1:2">
      <c r="A74">
        <v>35796</v>
      </c>
      <c r="B74">
        <v>204505</v>
      </c>
    </row>
    <row r="75" spans="1:2">
      <c r="A75">
        <v>35827</v>
      </c>
      <c r="B75">
        <v>204207</v>
      </c>
    </row>
    <row r="76" spans="1:2">
      <c r="A76">
        <v>35855</v>
      </c>
      <c r="B76">
        <v>205311</v>
      </c>
    </row>
    <row r="77" spans="1:2">
      <c r="A77">
        <v>35886</v>
      </c>
      <c r="B77">
        <v>208683</v>
      </c>
    </row>
    <row r="78" spans="1:2">
      <c r="A78">
        <v>35916</v>
      </c>
      <c r="B78">
        <v>209165</v>
      </c>
    </row>
    <row r="79" spans="1:2">
      <c r="A79">
        <v>35947</v>
      </c>
      <c r="B79">
        <v>211222</v>
      </c>
    </row>
    <row r="80" spans="1:2">
      <c r="A80">
        <v>35977</v>
      </c>
      <c r="B80">
        <v>209658</v>
      </c>
    </row>
    <row r="81" spans="1:2">
      <c r="A81">
        <v>36008</v>
      </c>
      <c r="B81">
        <v>207737</v>
      </c>
    </row>
    <row r="82" spans="1:2">
      <c r="A82">
        <v>36039</v>
      </c>
      <c r="B82">
        <v>210112</v>
      </c>
    </row>
    <row r="83" spans="1:2">
      <c r="A83">
        <v>36069</v>
      </c>
      <c r="B83">
        <v>213794</v>
      </c>
    </row>
    <row r="84" spans="1:2">
      <c r="A84">
        <v>36100</v>
      </c>
      <c r="B84">
        <v>215194</v>
      </c>
    </row>
    <row r="85" spans="1:2">
      <c r="A85">
        <v>36130</v>
      </c>
      <c r="B85">
        <v>217396</v>
      </c>
    </row>
    <row r="86" spans="1:2">
      <c r="A86">
        <v>36161</v>
      </c>
      <c r="B86">
        <v>217930</v>
      </c>
    </row>
    <row r="87" spans="1:2">
      <c r="A87">
        <v>36192</v>
      </c>
      <c r="B87">
        <v>220769</v>
      </c>
    </row>
    <row r="88" spans="1:2">
      <c r="A88">
        <v>36220</v>
      </c>
      <c r="B88">
        <v>222199</v>
      </c>
    </row>
    <row r="89" spans="1:2">
      <c r="A89">
        <v>36251</v>
      </c>
      <c r="B89">
        <v>223837</v>
      </c>
    </row>
    <row r="90" spans="1:2">
      <c r="A90">
        <v>36281</v>
      </c>
      <c r="B90">
        <v>225577</v>
      </c>
    </row>
    <row r="91" spans="1:2">
      <c r="A91">
        <v>36312</v>
      </c>
      <c r="B91">
        <v>226474</v>
      </c>
    </row>
    <row r="92" spans="1:2">
      <c r="A92">
        <v>36342</v>
      </c>
      <c r="B92">
        <v>228424</v>
      </c>
    </row>
    <row r="93" spans="1:2">
      <c r="A93">
        <v>36373</v>
      </c>
      <c r="B93">
        <v>230902</v>
      </c>
    </row>
    <row r="94" spans="1:2">
      <c r="A94">
        <v>36404</v>
      </c>
      <c r="B94">
        <v>231912</v>
      </c>
    </row>
    <row r="95" spans="1:2">
      <c r="A95">
        <v>36434</v>
      </c>
      <c r="B95">
        <v>231254</v>
      </c>
    </row>
    <row r="96" spans="1:2">
      <c r="A96">
        <v>36465</v>
      </c>
      <c r="B96">
        <v>234425</v>
      </c>
    </row>
    <row r="97" spans="1:2">
      <c r="A97">
        <v>36495</v>
      </c>
      <c r="B97">
        <v>239589</v>
      </c>
    </row>
    <row r="98" spans="1:2">
      <c r="A98">
        <v>36526</v>
      </c>
      <c r="B98">
        <v>237541</v>
      </c>
    </row>
    <row r="99" spans="1:2">
      <c r="A99">
        <v>36557</v>
      </c>
      <c r="B99">
        <v>241541</v>
      </c>
    </row>
    <row r="100" spans="1:2">
      <c r="A100">
        <v>36586</v>
      </c>
      <c r="B100">
        <v>244533</v>
      </c>
    </row>
    <row r="101" spans="1:2">
      <c r="A101">
        <v>36617</v>
      </c>
      <c r="B101">
        <v>239552</v>
      </c>
    </row>
    <row r="102" spans="1:2">
      <c r="A102">
        <v>36647</v>
      </c>
      <c r="B102">
        <v>241546</v>
      </c>
    </row>
    <row r="103" spans="1:2">
      <c r="A103">
        <v>36678</v>
      </c>
      <c r="B103">
        <v>243226</v>
      </c>
    </row>
    <row r="104" spans="1:2">
      <c r="A104">
        <v>36708</v>
      </c>
      <c r="B104">
        <v>240979</v>
      </c>
    </row>
    <row r="105" spans="1:2">
      <c r="A105">
        <v>36739</v>
      </c>
      <c r="B105">
        <v>242318</v>
      </c>
    </row>
    <row r="106" spans="1:2">
      <c r="A106">
        <v>36770</v>
      </c>
      <c r="B106">
        <v>245520</v>
      </c>
    </row>
    <row r="107" spans="1:2">
      <c r="A107">
        <v>36800</v>
      </c>
      <c r="B107">
        <v>245399</v>
      </c>
    </row>
    <row r="108" spans="1:2">
      <c r="A108">
        <v>36831</v>
      </c>
      <c r="B108">
        <v>243846</v>
      </c>
    </row>
    <row r="109" spans="1:2">
      <c r="A109">
        <v>36861</v>
      </c>
      <c r="B109">
        <v>243844</v>
      </c>
    </row>
    <row r="110" spans="1:2">
      <c r="A110">
        <v>36892</v>
      </c>
      <c r="B110">
        <v>247339</v>
      </c>
    </row>
    <row r="111" spans="1:2">
      <c r="A111">
        <v>36923</v>
      </c>
      <c r="B111">
        <v>247289</v>
      </c>
    </row>
    <row r="112" spans="1:2">
      <c r="A112">
        <v>36951</v>
      </c>
      <c r="B112">
        <v>244514</v>
      </c>
    </row>
    <row r="113" spans="1:2">
      <c r="A113">
        <v>36982</v>
      </c>
      <c r="B113">
        <v>249113</v>
      </c>
    </row>
    <row r="114" spans="1:2">
      <c r="A114">
        <v>37012</v>
      </c>
      <c r="B114">
        <v>250250</v>
      </c>
    </row>
    <row r="115" spans="1:2">
      <c r="A115">
        <v>37043</v>
      </c>
      <c r="B115">
        <v>248836</v>
      </c>
    </row>
    <row r="116" spans="1:2">
      <c r="A116">
        <v>37073</v>
      </c>
      <c r="B116">
        <v>247336</v>
      </c>
    </row>
    <row r="117" spans="1:2">
      <c r="A117">
        <v>37104</v>
      </c>
      <c r="B117">
        <v>249590</v>
      </c>
    </row>
    <row r="118" spans="1:2">
      <c r="A118">
        <v>37135</v>
      </c>
      <c r="B118">
        <v>243130</v>
      </c>
    </row>
    <row r="119" spans="1:2">
      <c r="A119">
        <v>37165</v>
      </c>
      <c r="B119">
        <v>262862</v>
      </c>
    </row>
    <row r="120" spans="1:2">
      <c r="A120">
        <v>37196</v>
      </c>
      <c r="B120">
        <v>254084</v>
      </c>
    </row>
    <row r="121" spans="1:2">
      <c r="A121">
        <v>37226</v>
      </c>
      <c r="B121">
        <v>249879</v>
      </c>
    </row>
    <row r="122" spans="1:2">
      <c r="A122">
        <v>37257</v>
      </c>
      <c r="B122">
        <v>250603</v>
      </c>
    </row>
    <row r="123" spans="1:2">
      <c r="A123">
        <v>37288</v>
      </c>
      <c r="B123">
        <v>252279</v>
      </c>
    </row>
    <row r="124" spans="1:2">
      <c r="A124">
        <v>37316</v>
      </c>
      <c r="B124">
        <v>251542</v>
      </c>
    </row>
    <row r="125" spans="1:2">
      <c r="A125">
        <v>37347</v>
      </c>
      <c r="B125">
        <v>254543</v>
      </c>
    </row>
    <row r="126" spans="1:2">
      <c r="A126">
        <v>37377</v>
      </c>
      <c r="B126">
        <v>252390</v>
      </c>
    </row>
    <row r="127" spans="1:2">
      <c r="A127">
        <v>37408</v>
      </c>
      <c r="B127">
        <v>253652</v>
      </c>
    </row>
    <row r="128" spans="1:2">
      <c r="A128">
        <v>37438</v>
      </c>
      <c r="B128">
        <v>257339</v>
      </c>
    </row>
    <row r="129" spans="1:2">
      <c r="A129">
        <v>37469</v>
      </c>
      <c r="B129">
        <v>259050</v>
      </c>
    </row>
    <row r="130" spans="1:2">
      <c r="A130">
        <v>37500</v>
      </c>
      <c r="B130">
        <v>254081</v>
      </c>
    </row>
    <row r="131" spans="1:2">
      <c r="A131">
        <v>37530</v>
      </c>
      <c r="B131">
        <v>256131</v>
      </c>
    </row>
    <row r="132" spans="1:2">
      <c r="A132">
        <v>37561</v>
      </c>
      <c r="B132">
        <v>256350</v>
      </c>
    </row>
    <row r="133" spans="1:2">
      <c r="A133">
        <v>37591</v>
      </c>
      <c r="B133">
        <v>259206</v>
      </c>
    </row>
    <row r="134" spans="1:2">
      <c r="A134">
        <v>37622</v>
      </c>
      <c r="B134">
        <v>261394</v>
      </c>
    </row>
    <row r="135" spans="1:2">
      <c r="A135">
        <v>37653</v>
      </c>
      <c r="B135">
        <v>257531</v>
      </c>
    </row>
    <row r="136" spans="1:2">
      <c r="A136">
        <v>37681</v>
      </c>
      <c r="B136">
        <v>260566</v>
      </c>
    </row>
    <row r="137" spans="1:2">
      <c r="A137">
        <v>37712</v>
      </c>
      <c r="B137">
        <v>261375</v>
      </c>
    </row>
    <row r="138" spans="1:2">
      <c r="A138">
        <v>37742</v>
      </c>
      <c r="B138">
        <v>261392</v>
      </c>
    </row>
    <row r="139" spans="1:2">
      <c r="A139">
        <v>37773</v>
      </c>
      <c r="B139">
        <v>265331</v>
      </c>
    </row>
    <row r="140" spans="1:2">
      <c r="A140">
        <v>37803</v>
      </c>
      <c r="B140">
        <v>267683</v>
      </c>
    </row>
    <row r="141" spans="1:2">
      <c r="A141">
        <v>37834</v>
      </c>
      <c r="B141">
        <v>270612</v>
      </c>
    </row>
    <row r="142" spans="1:2">
      <c r="A142">
        <v>37865</v>
      </c>
      <c r="B142">
        <v>270212</v>
      </c>
    </row>
    <row r="143" spans="1:2">
      <c r="A143">
        <v>37895</v>
      </c>
      <c r="B143">
        <v>269060</v>
      </c>
    </row>
    <row r="144" spans="1:2">
      <c r="A144">
        <v>37926</v>
      </c>
      <c r="B144">
        <v>270161</v>
      </c>
    </row>
    <row r="145" spans="1:2">
      <c r="A145">
        <v>37956</v>
      </c>
      <c r="B145">
        <v>271550</v>
      </c>
    </row>
    <row r="146" spans="1:2">
      <c r="A146">
        <v>37987</v>
      </c>
      <c r="B146">
        <v>272465</v>
      </c>
    </row>
    <row r="147" spans="1:2">
      <c r="A147">
        <v>38018</v>
      </c>
      <c r="B147">
        <v>274360</v>
      </c>
    </row>
    <row r="148" spans="1:2">
      <c r="A148">
        <v>38047</v>
      </c>
      <c r="B148">
        <v>279692</v>
      </c>
    </row>
    <row r="149" spans="1:2">
      <c r="A149">
        <v>38078</v>
      </c>
      <c r="B149">
        <v>277625</v>
      </c>
    </row>
    <row r="150" spans="1:2">
      <c r="A150">
        <v>38108</v>
      </c>
      <c r="B150">
        <v>281281</v>
      </c>
    </row>
    <row r="151" spans="1:2">
      <c r="A151">
        <v>38139</v>
      </c>
      <c r="B151">
        <v>279141</v>
      </c>
    </row>
    <row r="152" spans="1:2">
      <c r="A152">
        <v>38169</v>
      </c>
      <c r="B152">
        <v>281350</v>
      </c>
    </row>
    <row r="153" spans="1:2">
      <c r="A153">
        <v>38200</v>
      </c>
      <c r="B153">
        <v>281006</v>
      </c>
    </row>
    <row r="154" spans="1:2">
      <c r="A154">
        <v>38231</v>
      </c>
      <c r="B154">
        <v>286866</v>
      </c>
    </row>
    <row r="155" spans="1:2">
      <c r="A155">
        <v>38261</v>
      </c>
      <c r="B155">
        <v>287700</v>
      </c>
    </row>
    <row r="156" spans="1:2">
      <c r="A156">
        <v>38292</v>
      </c>
      <c r="B156">
        <v>289679</v>
      </c>
    </row>
    <row r="157" spans="1:2">
      <c r="A157">
        <v>38322</v>
      </c>
      <c r="B157">
        <v>293401</v>
      </c>
    </row>
    <row r="158" spans="1:2">
      <c r="A158">
        <v>38353</v>
      </c>
      <c r="B158">
        <v>290111</v>
      </c>
    </row>
    <row r="159" spans="1:2">
      <c r="A159">
        <v>38384</v>
      </c>
      <c r="B159">
        <v>293710</v>
      </c>
    </row>
    <row r="160" spans="1:2">
      <c r="A160">
        <v>38412</v>
      </c>
      <c r="B160">
        <v>294743</v>
      </c>
    </row>
    <row r="161" spans="1:2">
      <c r="A161">
        <v>38443</v>
      </c>
      <c r="B161">
        <v>297153</v>
      </c>
    </row>
    <row r="162" spans="1:2">
      <c r="A162">
        <v>38473</v>
      </c>
      <c r="B162">
        <v>295314</v>
      </c>
    </row>
    <row r="163" spans="1:2">
      <c r="A163">
        <v>38504</v>
      </c>
      <c r="B163">
        <v>305083</v>
      </c>
    </row>
    <row r="164" spans="1:2">
      <c r="A164">
        <v>38534</v>
      </c>
      <c r="B164">
        <v>307320</v>
      </c>
    </row>
    <row r="165" spans="1:2">
      <c r="A165">
        <v>38565</v>
      </c>
      <c r="B165">
        <v>303216</v>
      </c>
    </row>
    <row r="166" spans="1:2">
      <c r="A166">
        <v>38596</v>
      </c>
      <c r="B166">
        <v>304187</v>
      </c>
    </row>
    <row r="167" spans="1:2">
      <c r="A167">
        <v>38626</v>
      </c>
      <c r="B167">
        <v>303989</v>
      </c>
    </row>
    <row r="168" spans="1:2">
      <c r="A168">
        <v>38657</v>
      </c>
      <c r="B168">
        <v>306566</v>
      </c>
    </row>
    <row r="169" spans="1:2">
      <c r="A169">
        <v>38687</v>
      </c>
      <c r="B169">
        <v>306723</v>
      </c>
    </row>
    <row r="170" spans="1:2">
      <c r="A170">
        <v>38718</v>
      </c>
      <c r="B170">
        <v>315566</v>
      </c>
    </row>
    <row r="171" spans="1:2">
      <c r="A171">
        <v>38749</v>
      </c>
      <c r="B171">
        <v>313440</v>
      </c>
    </row>
    <row r="172" spans="1:2">
      <c r="A172">
        <v>38777</v>
      </c>
      <c r="B172">
        <v>314471</v>
      </c>
    </row>
    <row r="173" spans="1:2">
      <c r="A173">
        <v>38808</v>
      </c>
      <c r="B173">
        <v>316094</v>
      </c>
    </row>
    <row r="174" spans="1:2">
      <c r="A174">
        <v>38838</v>
      </c>
      <c r="B174">
        <v>314919</v>
      </c>
    </row>
    <row r="175" spans="1:2">
      <c r="A175">
        <v>38869</v>
      </c>
      <c r="B175">
        <v>316978</v>
      </c>
    </row>
    <row r="176" spans="1:2">
      <c r="A176">
        <v>38899</v>
      </c>
      <c r="B176">
        <v>317984</v>
      </c>
    </row>
    <row r="177" spans="1:2">
      <c r="A177">
        <v>38930</v>
      </c>
      <c r="B177">
        <v>318802</v>
      </c>
    </row>
    <row r="178" spans="1:2">
      <c r="A178">
        <v>38961</v>
      </c>
      <c r="B178">
        <v>316400</v>
      </c>
    </row>
    <row r="179" spans="1:2">
      <c r="A179">
        <v>38991</v>
      </c>
      <c r="B179">
        <v>316145</v>
      </c>
    </row>
    <row r="180" spans="1:2">
      <c r="A180">
        <v>39022</v>
      </c>
      <c r="B180">
        <v>317123</v>
      </c>
    </row>
    <row r="181" spans="1:2">
      <c r="A181">
        <v>39052</v>
      </c>
      <c r="B181">
        <v>320312</v>
      </c>
    </row>
    <row r="182" spans="1:2">
      <c r="A182">
        <v>39083</v>
      </c>
      <c r="B182">
        <v>320305</v>
      </c>
    </row>
    <row r="183" spans="1:2">
      <c r="A183">
        <v>39114</v>
      </c>
      <c r="B183">
        <v>321434</v>
      </c>
    </row>
    <row r="184" spans="1:2">
      <c r="A184">
        <v>39142</v>
      </c>
      <c r="B184">
        <v>323708</v>
      </c>
    </row>
    <row r="185" spans="1:2">
      <c r="A185">
        <v>39173</v>
      </c>
      <c r="B185">
        <v>322878</v>
      </c>
    </row>
    <row r="186" spans="1:2">
      <c r="A186">
        <v>39203</v>
      </c>
      <c r="B186">
        <v>327266</v>
      </c>
    </row>
    <row r="187" spans="1:2">
      <c r="A187">
        <v>39234</v>
      </c>
      <c r="B187">
        <v>324076</v>
      </c>
    </row>
    <row r="188" spans="1:2">
      <c r="A188">
        <v>39264</v>
      </c>
      <c r="B188">
        <v>325455</v>
      </c>
    </row>
    <row r="189" spans="1:2">
      <c r="A189">
        <v>39295</v>
      </c>
      <c r="B189">
        <v>327444</v>
      </c>
    </row>
    <row r="190" spans="1:2">
      <c r="A190">
        <v>39326</v>
      </c>
      <c r="B190">
        <v>328668</v>
      </c>
    </row>
    <row r="191" spans="1:2">
      <c r="A191">
        <v>39356</v>
      </c>
      <c r="B191">
        <v>330544</v>
      </c>
    </row>
    <row r="192" spans="1:2">
      <c r="A192">
        <v>39387</v>
      </c>
      <c r="B192">
        <v>334021</v>
      </c>
    </row>
    <row r="193" spans="1:2">
      <c r="A193">
        <v>39417</v>
      </c>
      <c r="B193">
        <v>329259</v>
      </c>
    </row>
    <row r="194" spans="1:2">
      <c r="A194">
        <v>39448</v>
      </c>
      <c r="B194">
        <v>330478</v>
      </c>
    </row>
    <row r="195" spans="1:2">
      <c r="A195">
        <v>39479</v>
      </c>
      <c r="B195">
        <v>327869</v>
      </c>
    </row>
    <row r="196" spans="1:2">
      <c r="A196">
        <v>39508</v>
      </c>
      <c r="B196">
        <v>328493</v>
      </c>
    </row>
    <row r="197" spans="1:2">
      <c r="A197">
        <v>39539</v>
      </c>
      <c r="B197">
        <v>328037</v>
      </c>
    </row>
    <row r="198" spans="1:2">
      <c r="A198">
        <v>39569</v>
      </c>
      <c r="B198">
        <v>331088</v>
      </c>
    </row>
    <row r="199" spans="1:2">
      <c r="A199">
        <v>39600</v>
      </c>
      <c r="B199">
        <v>331764</v>
      </c>
    </row>
    <row r="200" spans="1:2">
      <c r="A200">
        <v>39630</v>
      </c>
      <c r="B200">
        <v>330301</v>
      </c>
    </row>
    <row r="201" spans="1:2">
      <c r="A201">
        <v>39661</v>
      </c>
      <c r="B201">
        <v>327296</v>
      </c>
    </row>
    <row r="202" spans="1:2">
      <c r="A202">
        <v>39692</v>
      </c>
      <c r="B202">
        <v>321568</v>
      </c>
    </row>
    <row r="203" spans="1:2">
      <c r="A203">
        <v>39722</v>
      </c>
      <c r="B203">
        <v>308968</v>
      </c>
    </row>
    <row r="204" spans="1:2">
      <c r="A204">
        <v>39753</v>
      </c>
      <c r="B204">
        <v>295396</v>
      </c>
    </row>
    <row r="205" spans="1:2">
      <c r="A205">
        <v>39783</v>
      </c>
      <c r="B205">
        <v>287571</v>
      </c>
    </row>
    <row r="206" spans="1:2">
      <c r="A206">
        <v>39814</v>
      </c>
      <c r="B206">
        <v>292449</v>
      </c>
    </row>
    <row r="207" spans="1:2">
      <c r="A207">
        <v>39845</v>
      </c>
      <c r="B207">
        <v>291429</v>
      </c>
    </row>
    <row r="208" spans="1:2">
      <c r="A208">
        <v>39873</v>
      </c>
      <c r="B208">
        <v>286022</v>
      </c>
    </row>
    <row r="209" spans="1:2">
      <c r="A209">
        <v>39904</v>
      </c>
      <c r="B209">
        <v>287530</v>
      </c>
    </row>
    <row r="210" spans="1:2">
      <c r="A210">
        <v>39934</v>
      </c>
      <c r="B210">
        <v>290215</v>
      </c>
    </row>
    <row r="211" spans="1:2">
      <c r="A211">
        <v>39965</v>
      </c>
      <c r="B211">
        <v>295458</v>
      </c>
    </row>
    <row r="212" spans="1:2">
      <c r="A212">
        <v>39995</v>
      </c>
      <c r="B212">
        <v>296928</v>
      </c>
    </row>
    <row r="213" spans="1:2">
      <c r="A213">
        <v>40026</v>
      </c>
      <c r="B213">
        <v>302871</v>
      </c>
    </row>
    <row r="214" spans="1:2">
      <c r="A214">
        <v>40057</v>
      </c>
      <c r="B214">
        <v>294449</v>
      </c>
    </row>
    <row r="215" spans="1:2">
      <c r="A215">
        <v>40087</v>
      </c>
      <c r="B215">
        <v>298067</v>
      </c>
    </row>
    <row r="216" spans="1:2">
      <c r="A216">
        <v>40118</v>
      </c>
      <c r="B216">
        <v>300583</v>
      </c>
    </row>
    <row r="217" spans="1:2">
      <c r="A217">
        <v>40148</v>
      </c>
      <c r="B217">
        <v>301959</v>
      </c>
    </row>
    <row r="218" spans="1:2">
      <c r="A218">
        <v>40179</v>
      </c>
      <c r="B218">
        <v>302325</v>
      </c>
    </row>
    <row r="219" spans="1:2">
      <c r="A219">
        <v>40210</v>
      </c>
      <c r="B219">
        <v>302310</v>
      </c>
    </row>
    <row r="220" spans="1:2">
      <c r="A220">
        <v>40238</v>
      </c>
      <c r="B220">
        <v>309525</v>
      </c>
    </row>
    <row r="221" spans="1:2">
      <c r="A221">
        <v>40269</v>
      </c>
      <c r="B221">
        <v>312143</v>
      </c>
    </row>
    <row r="222" spans="1:2">
      <c r="A222">
        <v>40299</v>
      </c>
      <c r="B222">
        <v>309158</v>
      </c>
    </row>
    <row r="223" spans="1:2">
      <c r="A223">
        <v>40330</v>
      </c>
      <c r="B223">
        <v>308588</v>
      </c>
    </row>
    <row r="224" spans="1:2">
      <c r="A224">
        <v>40360</v>
      </c>
      <c r="B224">
        <v>309543</v>
      </c>
    </row>
    <row r="225" spans="1:2">
      <c r="A225">
        <v>40391</v>
      </c>
      <c r="B225">
        <v>310761</v>
      </c>
    </row>
    <row r="226" spans="1:2">
      <c r="A226">
        <v>40422</v>
      </c>
      <c r="B226">
        <v>313785</v>
      </c>
    </row>
    <row r="227" spans="1:2">
      <c r="A227">
        <v>40452</v>
      </c>
      <c r="B227">
        <v>317699</v>
      </c>
    </row>
    <row r="228" spans="1:2">
      <c r="A228">
        <v>40483</v>
      </c>
      <c r="B228">
        <v>320695</v>
      </c>
    </row>
    <row r="229" spans="1:2">
      <c r="A229">
        <v>40513</v>
      </c>
      <c r="B229">
        <v>323421</v>
      </c>
    </row>
    <row r="230" spans="1:2">
      <c r="A230">
        <v>40544</v>
      </c>
      <c r="B230">
        <v>325674</v>
      </c>
    </row>
    <row r="231" spans="1:2">
      <c r="A231">
        <v>40575</v>
      </c>
      <c r="B231">
        <v>328049</v>
      </c>
    </row>
    <row r="232" spans="1:2">
      <c r="A232">
        <v>40603</v>
      </c>
      <c r="B232">
        <v>331161</v>
      </c>
    </row>
    <row r="233" spans="1:2">
      <c r="A233">
        <v>40634</v>
      </c>
      <c r="B233">
        <v>333189</v>
      </c>
    </row>
    <row r="234" spans="1:2">
      <c r="A234">
        <v>40664</v>
      </c>
      <c r="B234">
        <v>332409</v>
      </c>
    </row>
    <row r="235" spans="1:2">
      <c r="A235">
        <v>40695</v>
      </c>
      <c r="B235">
        <v>335108</v>
      </c>
    </row>
    <row r="236" spans="1:2">
      <c r="A236">
        <v>40725</v>
      </c>
      <c r="B236">
        <v>334922</v>
      </c>
    </row>
    <row r="237" spans="1:2">
      <c r="A237">
        <v>40756</v>
      </c>
      <c r="B237">
        <v>335163</v>
      </c>
    </row>
    <row r="238" spans="1:2">
      <c r="A238">
        <v>40787</v>
      </c>
      <c r="B238">
        <v>339011</v>
      </c>
    </row>
    <row r="239" spans="1:2">
      <c r="A239">
        <v>40817</v>
      </c>
      <c r="B239">
        <v>341058</v>
      </c>
    </row>
    <row r="240" spans="1:2">
      <c r="A240">
        <v>40848</v>
      </c>
      <c r="B240">
        <v>342214</v>
      </c>
    </row>
    <row r="241" spans="1:2">
      <c r="A241">
        <v>40878</v>
      </c>
      <c r="B241">
        <v>343093</v>
      </c>
    </row>
    <row r="242" spans="1:2">
      <c r="A242">
        <v>40909</v>
      </c>
      <c r="B242">
        <v>345656</v>
      </c>
    </row>
    <row r="243" spans="1:2">
      <c r="A243">
        <v>40940</v>
      </c>
      <c r="B243">
        <v>350345</v>
      </c>
    </row>
    <row r="244" spans="1:2">
      <c r="A244">
        <v>40969</v>
      </c>
      <c r="B244">
        <v>351748</v>
      </c>
    </row>
    <row r="245" spans="1:2">
      <c r="A245">
        <v>41000</v>
      </c>
      <c r="B245">
        <v>349722</v>
      </c>
    </row>
    <row r="246" spans="1:2">
      <c r="A246">
        <v>41030</v>
      </c>
      <c r="B246">
        <v>349064</v>
      </c>
    </row>
    <row r="247" spans="1:2">
      <c r="A247">
        <v>41061</v>
      </c>
      <c r="B247">
        <v>345339</v>
      </c>
    </row>
    <row r="248" spans="1:2">
      <c r="A248">
        <v>41091</v>
      </c>
      <c r="B248">
        <v>346936</v>
      </c>
    </row>
    <row r="249" spans="1:2">
      <c r="A249">
        <v>41122</v>
      </c>
      <c r="B249">
        <v>351782</v>
      </c>
    </row>
    <row r="250" spans="1:2">
      <c r="A250">
        <v>41153</v>
      </c>
      <c r="B250">
        <v>354575</v>
      </c>
    </row>
    <row r="251" spans="1:2">
      <c r="A251">
        <v>41183</v>
      </c>
      <c r="B251">
        <v>354747</v>
      </c>
    </row>
    <row r="252" spans="1:2">
      <c r="A252">
        <v>41214</v>
      </c>
      <c r="B252">
        <v>356158</v>
      </c>
    </row>
    <row r="253" spans="1:2">
      <c r="A253">
        <v>41244</v>
      </c>
      <c r="B253">
        <v>357519</v>
      </c>
    </row>
    <row r="254" spans="1:2">
      <c r="A254">
        <v>41275</v>
      </c>
      <c r="B254">
        <v>360257</v>
      </c>
    </row>
    <row r="255" spans="1:2">
      <c r="A255">
        <v>41306</v>
      </c>
      <c r="B255">
        <v>365227</v>
      </c>
    </row>
    <row r="256" spans="1:2">
      <c r="A256">
        <v>41334</v>
      </c>
      <c r="B256">
        <v>362148</v>
      </c>
    </row>
    <row r="257" spans="1:2">
      <c r="A257">
        <v>41365</v>
      </c>
      <c r="B257">
        <v>360499</v>
      </c>
    </row>
    <row r="258" spans="1:2">
      <c r="A258">
        <v>41395</v>
      </c>
      <c r="B258">
        <v>362842</v>
      </c>
    </row>
    <row r="259" spans="1:2">
      <c r="A259">
        <v>41426</v>
      </c>
      <c r="B259">
        <v>364181</v>
      </c>
    </row>
    <row r="260" spans="1:2">
      <c r="A260">
        <v>41456</v>
      </c>
      <c r="B260">
        <v>366243</v>
      </c>
    </row>
    <row r="261" spans="1:2">
      <c r="A261">
        <v>41487</v>
      </c>
      <c r="B261">
        <v>365543</v>
      </c>
    </row>
    <row r="262" spans="1:2">
      <c r="A262">
        <v>41518</v>
      </c>
      <c r="B262">
        <v>365668</v>
      </c>
    </row>
    <row r="263" spans="1:2">
      <c r="A263">
        <v>41548</v>
      </c>
      <c r="B263">
        <v>366444</v>
      </c>
    </row>
    <row r="264" spans="1:2">
      <c r="A264">
        <v>41579</v>
      </c>
      <c r="B264">
        <v>366868</v>
      </c>
    </row>
    <row r="265" spans="1:2">
      <c r="A265">
        <v>41609</v>
      </c>
      <c r="B265">
        <v>369499</v>
      </c>
    </row>
    <row r="266" spans="1:2">
      <c r="A266">
        <v>41640</v>
      </c>
      <c r="B266">
        <v>366684</v>
      </c>
    </row>
    <row r="267" spans="1:2">
      <c r="A267">
        <v>41671</v>
      </c>
      <c r="B267">
        <v>371335</v>
      </c>
    </row>
    <row r="268" spans="1:2">
      <c r="A268">
        <v>41699</v>
      </c>
      <c r="B268">
        <v>375285</v>
      </c>
    </row>
    <row r="269" spans="1:2">
      <c r="A269">
        <v>41730</v>
      </c>
      <c r="B269">
        <v>379432</v>
      </c>
    </row>
    <row r="270" spans="1:2">
      <c r="A270">
        <v>41760</v>
      </c>
      <c r="B270">
        <v>379787</v>
      </c>
    </row>
    <row r="271" spans="1:2">
      <c r="A271">
        <v>41791</v>
      </c>
      <c r="B271">
        <v>380618</v>
      </c>
    </row>
    <row r="272" spans="1:2">
      <c r="A272">
        <v>41821</v>
      </c>
      <c r="B272">
        <v>381045</v>
      </c>
    </row>
    <row r="273" spans="1:2">
      <c r="A273">
        <v>41852</v>
      </c>
      <c r="B273">
        <v>384017</v>
      </c>
    </row>
    <row r="274" spans="1:2">
      <c r="A274">
        <v>41883</v>
      </c>
      <c r="B274">
        <v>382277</v>
      </c>
    </row>
    <row r="275" spans="1:2">
      <c r="A275">
        <v>41913</v>
      </c>
      <c r="B275">
        <v>383323</v>
      </c>
    </row>
    <row r="276" spans="1:2">
      <c r="A276">
        <v>41944</v>
      </c>
      <c r="B276">
        <v>384459</v>
      </c>
    </row>
    <row r="277" spans="1:2">
      <c r="A277">
        <v>41974</v>
      </c>
      <c r="B277">
        <v>380682</v>
      </c>
    </row>
    <row r="278" spans="1:2">
      <c r="A278">
        <v>42005</v>
      </c>
      <c r="B278">
        <v>378518</v>
      </c>
    </row>
    <row r="279" spans="1:2">
      <c r="A279">
        <v>42036</v>
      </c>
      <c r="B279">
        <v>377594</v>
      </c>
    </row>
    <row r="280" spans="1:2">
      <c r="A280">
        <v>42064</v>
      </c>
      <c r="B280">
        <v>383681</v>
      </c>
    </row>
    <row r="281" spans="1:2">
      <c r="A281">
        <v>42095</v>
      </c>
      <c r="B281">
        <v>383893</v>
      </c>
    </row>
    <row r="282" spans="1:2">
      <c r="A282">
        <v>42125</v>
      </c>
      <c r="B282">
        <v>387155</v>
      </c>
    </row>
    <row r="283" spans="1:2">
      <c r="A283">
        <v>42156</v>
      </c>
      <c r="B283">
        <v>387199</v>
      </c>
    </row>
    <row r="284" spans="1:2">
      <c r="A284">
        <v>42186</v>
      </c>
      <c r="B284">
        <v>390953</v>
      </c>
    </row>
    <row r="285" spans="1:2">
      <c r="A285">
        <v>42217</v>
      </c>
      <c r="B285">
        <v>390570</v>
      </c>
    </row>
    <row r="286" spans="1:2">
      <c r="A286">
        <v>42248</v>
      </c>
      <c r="B286">
        <v>388551</v>
      </c>
    </row>
    <row r="287" spans="1:2">
      <c r="A287">
        <v>42278</v>
      </c>
      <c r="B287">
        <v>387066</v>
      </c>
    </row>
    <row r="288" spans="1:2">
      <c r="A288">
        <v>42309</v>
      </c>
      <c r="B288">
        <v>388530</v>
      </c>
    </row>
    <row r="289" spans="1:2">
      <c r="A289">
        <v>42339</v>
      </c>
      <c r="B289">
        <v>389551</v>
      </c>
    </row>
    <row r="290" spans="1:2">
      <c r="A290">
        <v>42370</v>
      </c>
      <c r="B290">
        <v>387483</v>
      </c>
    </row>
    <row r="291" spans="1:2">
      <c r="A291">
        <v>42401</v>
      </c>
      <c r="B291">
        <v>390029</v>
      </c>
    </row>
    <row r="292" spans="1:2">
      <c r="A292">
        <v>42430</v>
      </c>
      <c r="B292">
        <v>388998</v>
      </c>
    </row>
    <row r="293" spans="1:2">
      <c r="A293">
        <v>42461</v>
      </c>
      <c r="B293">
        <v>391112</v>
      </c>
    </row>
    <row r="294" spans="1:2">
      <c r="A294">
        <v>42491</v>
      </c>
      <c r="B294">
        <v>392299</v>
      </c>
    </row>
    <row r="295" spans="1:2">
      <c r="A295">
        <v>42522</v>
      </c>
      <c r="B295">
        <v>397113</v>
      </c>
    </row>
    <row r="296" spans="1:2">
      <c r="A296">
        <v>42552</v>
      </c>
      <c r="B296">
        <v>396545</v>
      </c>
    </row>
    <row r="297" spans="1:2">
      <c r="A297">
        <v>42583</v>
      </c>
      <c r="B297">
        <v>396293</v>
      </c>
    </row>
    <row r="298" spans="1:2">
      <c r="A298">
        <v>42614</v>
      </c>
      <c r="B298">
        <v>398797</v>
      </c>
    </row>
    <row r="299" spans="1:2">
      <c r="A299">
        <v>42644</v>
      </c>
      <c r="B299">
        <v>399637</v>
      </c>
    </row>
    <row r="300" spans="1:2">
      <c r="A300">
        <v>42675</v>
      </c>
      <c r="B300">
        <v>398680</v>
      </c>
    </row>
    <row r="301" spans="1:2">
      <c r="A301">
        <v>42705</v>
      </c>
      <c r="B301">
        <v>405114</v>
      </c>
    </row>
    <row r="302" spans="1:2">
      <c r="A302">
        <v>42736</v>
      </c>
      <c r="B302">
        <v>408269</v>
      </c>
    </row>
    <row r="303" spans="1:2">
      <c r="A303">
        <v>42767</v>
      </c>
      <c r="B303">
        <v>408155</v>
      </c>
    </row>
    <row r="304" spans="1:2">
      <c r="A304">
        <v>42795</v>
      </c>
      <c r="B304">
        <v>407630</v>
      </c>
    </row>
    <row r="305" spans="1:2">
      <c r="A305">
        <v>42826</v>
      </c>
      <c r="B305">
        <v>409134</v>
      </c>
    </row>
    <row r="306" spans="1:2">
      <c r="A306">
        <v>42856</v>
      </c>
      <c r="B306">
        <v>406609</v>
      </c>
    </row>
    <row r="307" spans="1:2">
      <c r="A307">
        <v>42887</v>
      </c>
      <c r="B307">
        <v>409067</v>
      </c>
    </row>
    <row r="308" spans="1:2">
      <c r="A308">
        <v>42917</v>
      </c>
      <c r="B308">
        <v>409113</v>
      </c>
    </row>
    <row r="309" spans="1:2">
      <c r="A309">
        <v>42948</v>
      </c>
      <c r="B309">
        <v>409606</v>
      </c>
    </row>
    <row r="310" spans="1:2">
      <c r="A310">
        <v>42979</v>
      </c>
      <c r="B310">
        <v>419021</v>
      </c>
    </row>
    <row r="311" spans="1:2">
      <c r="A311">
        <v>43009</v>
      </c>
      <c r="B311">
        <v>418999</v>
      </c>
    </row>
    <row r="312" spans="1:2">
      <c r="A312">
        <v>43040</v>
      </c>
      <c r="B312">
        <v>423224</v>
      </c>
    </row>
    <row r="313" spans="1:2">
      <c r="A313">
        <v>43070</v>
      </c>
      <c r="B313">
        <v>425545</v>
      </c>
    </row>
    <row r="314" spans="1:2">
      <c r="A314">
        <v>43101</v>
      </c>
      <c r="B314">
        <v>423202</v>
      </c>
    </row>
    <row r="315" spans="1:2">
      <c r="A315">
        <v>43132</v>
      </c>
      <c r="B315">
        <v>425507</v>
      </c>
    </row>
    <row r="316" spans="1:2">
      <c r="A316">
        <v>43160</v>
      </c>
      <c r="B316">
        <v>425087</v>
      </c>
    </row>
    <row r="317" spans="1:2">
      <c r="A317">
        <v>43191</v>
      </c>
      <c r="B317">
        <v>425899</v>
      </c>
    </row>
    <row r="318" spans="1:2">
      <c r="A318">
        <v>43221</v>
      </c>
      <c r="B318">
        <v>432340</v>
      </c>
    </row>
    <row r="319" spans="1:2">
      <c r="A319">
        <v>43252</v>
      </c>
      <c r="B319">
        <v>430008</v>
      </c>
    </row>
    <row r="320" spans="1:2">
      <c r="A320">
        <v>43282</v>
      </c>
      <c r="B320">
        <v>432070</v>
      </c>
    </row>
    <row r="321" spans="1:2">
      <c r="A321">
        <v>43313</v>
      </c>
      <c r="B321">
        <v>432031</v>
      </c>
    </row>
    <row r="322" spans="1:2">
      <c r="A322">
        <v>43344</v>
      </c>
      <c r="B322">
        <v>431438</v>
      </c>
    </row>
    <row r="323" spans="1:2">
      <c r="A323">
        <v>43374</v>
      </c>
      <c r="B323">
        <v>435894</v>
      </c>
    </row>
    <row r="324" spans="1:2">
      <c r="A324">
        <v>43405</v>
      </c>
      <c r="B324">
        <v>438612</v>
      </c>
    </row>
    <row r="325" spans="1:2">
      <c r="A325">
        <v>43435</v>
      </c>
      <c r="B325">
        <v>428932</v>
      </c>
    </row>
    <row r="326" spans="1:2">
      <c r="A326">
        <v>43466</v>
      </c>
      <c r="B326">
        <v>430246</v>
      </c>
    </row>
    <row r="327" spans="1:2">
      <c r="A327">
        <v>43497</v>
      </c>
      <c r="B327">
        <v>431194</v>
      </c>
    </row>
    <row r="328" spans="1:2">
      <c r="A328">
        <v>43525</v>
      </c>
      <c r="B328">
        <v>438196</v>
      </c>
    </row>
    <row r="329" spans="1:2">
      <c r="A329">
        <v>43556</v>
      </c>
      <c r="B329">
        <v>437735</v>
      </c>
    </row>
    <row r="330" spans="1:2">
      <c r="A330">
        <v>43586</v>
      </c>
      <c r="B330">
        <v>442514</v>
      </c>
    </row>
    <row r="331" spans="1:2">
      <c r="A331">
        <v>43617</v>
      </c>
      <c r="B331">
        <v>442116</v>
      </c>
    </row>
    <row r="332" spans="1:2">
      <c r="A332">
        <v>43647</v>
      </c>
      <c r="B332">
        <v>445304</v>
      </c>
    </row>
    <row r="333" spans="1:2">
      <c r="A333">
        <v>43678</v>
      </c>
      <c r="B333">
        <v>448519</v>
      </c>
    </row>
    <row r="334" spans="1:2">
      <c r="A334">
        <v>43709</v>
      </c>
      <c r="B334">
        <v>444555</v>
      </c>
    </row>
    <row r="335" spans="1:2">
      <c r="A335">
        <v>43739</v>
      </c>
      <c r="B335">
        <v>445627</v>
      </c>
    </row>
    <row r="336" spans="1:2">
      <c r="A336">
        <v>43770</v>
      </c>
      <c r="B336">
        <v>449040</v>
      </c>
    </row>
    <row r="337" spans="1:2">
      <c r="A337">
        <v>43800</v>
      </c>
      <c r="B337">
        <v>449643</v>
      </c>
    </row>
    <row r="338" spans="1:2">
      <c r="A338">
        <v>43831</v>
      </c>
      <c r="B338">
        <v>447774</v>
      </c>
    </row>
    <row r="339" spans="1:2">
      <c r="A339">
        <v>43862</v>
      </c>
      <c r="B339">
        <v>447972</v>
      </c>
    </row>
    <row r="340" spans="1:2">
      <c r="A340">
        <v>43891</v>
      </c>
      <c r="B340">
        <v>420954</v>
      </c>
    </row>
    <row r="341" spans="1:2">
      <c r="A341">
        <v>43922</v>
      </c>
      <c r="B341">
        <v>370296</v>
      </c>
    </row>
    <row r="342" spans="1:2">
      <c r="A342">
        <v>43952</v>
      </c>
      <c r="B342">
        <v>437957</v>
      </c>
    </row>
    <row r="343" spans="1:2">
      <c r="A343">
        <v>43983</v>
      </c>
      <c r="B343">
        <v>465800</v>
      </c>
    </row>
    <row r="344" spans="1:2">
      <c r="A344">
        <v>44013</v>
      </c>
      <c r="B344">
        <v>471873</v>
      </c>
    </row>
    <row r="345" spans="1:2">
      <c r="A345">
        <v>44044</v>
      </c>
      <c r="B345">
        <v>473696</v>
      </c>
    </row>
    <row r="346" spans="1:2">
      <c r="A346">
        <v>44075</v>
      </c>
      <c r="B346">
        <v>482702</v>
      </c>
    </row>
    <row r="347" spans="1:2">
      <c r="A347">
        <v>44105</v>
      </c>
      <c r="B347">
        <v>480763</v>
      </c>
    </row>
    <row r="348" spans="1:2">
      <c r="A348">
        <v>44136</v>
      </c>
      <c r="B348">
        <v>478079</v>
      </c>
    </row>
    <row r="349" spans="1:2">
      <c r="A349">
        <v>44166</v>
      </c>
      <c r="B349">
        <v>485949</v>
      </c>
    </row>
    <row r="350" spans="1:2">
      <c r="A350">
        <v>44197</v>
      </c>
      <c r="B350">
        <v>501604</v>
      </c>
    </row>
    <row r="351" spans="1:2">
      <c r="A351">
        <v>44228</v>
      </c>
      <c r="B351">
        <v>488805</v>
      </c>
    </row>
    <row r="352" spans="1:2">
      <c r="A352">
        <v>44256</v>
      </c>
      <c r="B352">
        <v>539607</v>
      </c>
    </row>
    <row r="353" spans="1:2">
      <c r="A353">
        <v>44287</v>
      </c>
      <c r="B353">
        <v>542199</v>
      </c>
    </row>
    <row r="354" spans="1:2">
      <c r="A354">
        <v>44317</v>
      </c>
      <c r="B354">
        <v>536589</v>
      </c>
    </row>
    <row r="355" spans="1:2">
      <c r="A355">
        <v>44348</v>
      </c>
      <c r="B355">
        <v>540152</v>
      </c>
    </row>
    <row r="356" spans="1:2">
      <c r="A356">
        <v>44378</v>
      </c>
      <c r="B356">
        <v>528600</v>
      </c>
    </row>
    <row r="357" spans="1:2">
      <c r="A357">
        <v>44409</v>
      </c>
      <c r="B357">
        <v>532477</v>
      </c>
    </row>
    <row r="358" spans="1:2">
      <c r="A358">
        <v>44440</v>
      </c>
      <c r="B358">
        <v>536651</v>
      </c>
    </row>
    <row r="359" spans="1:2">
      <c r="A359">
        <v>44470</v>
      </c>
      <c r="B359">
        <v>545361</v>
      </c>
    </row>
    <row r="360" spans="1:2">
      <c r="A360">
        <v>44501</v>
      </c>
      <c r="B360">
        <v>551082</v>
      </c>
    </row>
    <row r="361" spans="1:2">
      <c r="A361">
        <v>44531</v>
      </c>
      <c r="B361">
        <v>547277</v>
      </c>
    </row>
    <row r="362" spans="1:2">
      <c r="A362">
        <v>44562</v>
      </c>
      <c r="B362">
        <v>560257</v>
      </c>
    </row>
    <row r="363" spans="1:2">
      <c r="A363">
        <v>44593</v>
      </c>
      <c r="B363">
        <v>563777</v>
      </c>
    </row>
    <row r="364" spans="1:2">
      <c r="A364">
        <v>44621</v>
      </c>
      <c r="B364">
        <v>574485</v>
      </c>
    </row>
    <row r="365" spans="1:2">
      <c r="A365">
        <v>44652</v>
      </c>
      <c r="B365">
        <v>580943</v>
      </c>
    </row>
    <row r="366" spans="1:2">
      <c r="A366">
        <v>44682</v>
      </c>
      <c r="B366">
        <v>579844</v>
      </c>
    </row>
    <row r="367" spans="1:2">
      <c r="A367">
        <v>44713</v>
      </c>
      <c r="B367">
        <v>585556</v>
      </c>
    </row>
    <row r="368" spans="1:2">
      <c r="A368">
        <v>44743</v>
      </c>
      <c r="B368">
        <v>579267</v>
      </c>
    </row>
    <row r="369" spans="1:2">
      <c r="A369">
        <v>44774</v>
      </c>
      <c r="B369">
        <v>581196</v>
      </c>
    </row>
    <row r="370" spans="1:2">
      <c r="A370">
        <v>44805</v>
      </c>
      <c r="B370">
        <v>579446</v>
      </c>
    </row>
    <row r="371" spans="1:2">
      <c r="A371">
        <v>44835</v>
      </c>
      <c r="B371">
        <v>585006</v>
      </c>
    </row>
    <row r="372" spans="1:2">
      <c r="A372">
        <v>44866</v>
      </c>
      <c r="B372">
        <v>576356</v>
      </c>
    </row>
    <row r="373" spans="1:2">
      <c r="A373">
        <v>44896</v>
      </c>
      <c r="B373">
        <v>569119</v>
      </c>
    </row>
    <row r="374" spans="1:2">
      <c r="A374">
        <v>44927</v>
      </c>
      <c r="B374">
        <v>591964</v>
      </c>
    </row>
    <row r="375" spans="1:2">
      <c r="A375">
        <v>44958</v>
      </c>
      <c r="B375">
        <v>586165</v>
      </c>
    </row>
    <row r="376" spans="1:2">
      <c r="A376">
        <v>44986</v>
      </c>
      <c r="B376">
        <v>578812</v>
      </c>
    </row>
    <row r="377" spans="1:2">
      <c r="A377">
        <v>45017</v>
      </c>
      <c r="B377">
        <v>583874</v>
      </c>
    </row>
    <row r="378" spans="1:2">
      <c r="A378">
        <v>45047</v>
      </c>
      <c r="B378">
        <v>586286</v>
      </c>
    </row>
    <row r="379" spans="1:2">
      <c r="A379">
        <v>45078</v>
      </c>
      <c r="B379">
        <v>588670</v>
      </c>
    </row>
    <row r="380" spans="1:2">
      <c r="A380">
        <v>45108</v>
      </c>
      <c r="B380">
        <v>589257</v>
      </c>
    </row>
    <row r="381" spans="1:2">
      <c r="A381">
        <v>45139</v>
      </c>
      <c r="B381">
        <v>595191</v>
      </c>
    </row>
    <row r="382" spans="1:2">
      <c r="A382">
        <v>45170</v>
      </c>
      <c r="B382">
        <v>598956</v>
      </c>
    </row>
    <row r="383" spans="1:2">
      <c r="A383">
        <v>45200</v>
      </c>
      <c r="B383">
        <v>595517</v>
      </c>
    </row>
    <row r="384" spans="1:2">
      <c r="A384">
        <v>45231</v>
      </c>
      <c r="B384">
        <v>593567</v>
      </c>
    </row>
    <row r="385" spans="1:2">
      <c r="A385">
        <v>45261</v>
      </c>
      <c r="B385">
        <v>594256</v>
      </c>
    </row>
    <row r="386" spans="1:2">
      <c r="A386">
        <v>45292</v>
      </c>
      <c r="B386">
        <v>588944</v>
      </c>
    </row>
    <row r="387" spans="1:2">
      <c r="A387">
        <v>45323</v>
      </c>
      <c r="B387">
        <v>593206</v>
      </c>
    </row>
    <row r="388" spans="1:2">
      <c r="A388">
        <v>45352</v>
      </c>
      <c r="B388">
        <v>595969</v>
      </c>
    </row>
    <row r="389" spans="1:2">
      <c r="A389">
        <v>45383</v>
      </c>
      <c r="B389">
        <v>595676</v>
      </c>
    </row>
    <row r="390" spans="1:2">
      <c r="A390">
        <v>45413</v>
      </c>
      <c r="B390">
        <v>600372</v>
      </c>
    </row>
    <row r="391" spans="1:2">
      <c r="A391">
        <v>45444</v>
      </c>
      <c r="B391">
        <v>599979</v>
      </c>
    </row>
    <row r="392" spans="1:2">
      <c r="A392">
        <v>45474</v>
      </c>
      <c r="B392">
        <v>605797</v>
      </c>
    </row>
    <row r="393" spans="1:2">
      <c r="A393">
        <v>45505</v>
      </c>
      <c r="B393">
        <v>604173</v>
      </c>
    </row>
    <row r="394" spans="1:2">
      <c r="A394">
        <v>45536</v>
      </c>
      <c r="B394">
        <v>608701</v>
      </c>
    </row>
    <row r="395" spans="1:2">
      <c r="A395">
        <v>45566</v>
      </c>
      <c r="B395">
        <v>612570</v>
      </c>
    </row>
    <row r="396" spans="1:2">
      <c r="A396">
        <v>45597</v>
      </c>
      <c r="B396">
        <v>616833</v>
      </c>
    </row>
    <row r="397" spans="1:2">
      <c r="A397">
        <v>45627</v>
      </c>
      <c r="B397">
        <v>622396</v>
      </c>
    </row>
    <row r="398" spans="1:2">
      <c r="A398">
        <v>45658</v>
      </c>
      <c r="B398">
        <v>615973</v>
      </c>
    </row>
    <row r="399" spans="1:2">
      <c r="A399">
        <v>45689</v>
      </c>
      <c r="B399">
        <v>616714</v>
      </c>
    </row>
    <row r="400" spans="1:2">
      <c r="A400">
        <v>45717</v>
      </c>
      <c r="B400">
        <v>625121</v>
      </c>
    </row>
    <row r="401" spans="1:5">
      <c r="A401">
        <v>45748</v>
      </c>
      <c r="B401">
        <v>623521</v>
      </c>
    </row>
    <row r="402" spans="1:5">
      <c r="A402">
        <v>45778</v>
      </c>
      <c r="B402">
        <v>618037</v>
      </c>
    </row>
    <row r="403" spans="1:5">
      <c r="A403">
        <v>45809</v>
      </c>
      <c r="B403">
        <v>623882</v>
      </c>
    </row>
    <row r="404" spans="1:5">
      <c r="A404">
        <v>45839</v>
      </c>
      <c r="B404">
        <v>627979</v>
      </c>
      <c r="C404">
        <v>627979</v>
      </c>
      <c r="D404">
        <v>627979</v>
      </c>
      <c r="E404">
        <v>627979</v>
      </c>
    </row>
    <row r="405" spans="1:5">
      <c r="A405">
        <v>45870</v>
      </c>
      <c r="C405">
        <v>629045.49458032497</v>
      </c>
      <c r="D405">
        <v>613960.89339114295</v>
      </c>
      <c r="E405">
        <v>644130.09576950804</v>
      </c>
    </row>
    <row r="406" spans="1:5">
      <c r="A406">
        <v>45901</v>
      </c>
      <c r="C406">
        <v>630111.98916065099</v>
      </c>
      <c r="D406">
        <v>608789.80533177196</v>
      </c>
      <c r="E406">
        <v>651434.17298952898</v>
      </c>
    </row>
    <row r="407" spans="1:5">
      <c r="A407">
        <v>45931</v>
      </c>
      <c r="C407">
        <v>631178.48374097596</v>
      </c>
      <c r="D407">
        <v>605059.89426395495</v>
      </c>
      <c r="E407">
        <v>657297.07321799803</v>
      </c>
    </row>
    <row r="408" spans="1:5">
      <c r="A408">
        <v>45962</v>
      </c>
      <c r="C408">
        <v>632244.97832130198</v>
      </c>
      <c r="D408">
        <v>602075.76840063697</v>
      </c>
      <c r="E408">
        <v>662414.18824196595</v>
      </c>
    </row>
    <row r="409" spans="1:5">
      <c r="A409">
        <v>45992</v>
      </c>
      <c r="C409">
        <v>633311.47290162696</v>
      </c>
      <c r="D409">
        <v>599567.76961898897</v>
      </c>
      <c r="E409">
        <v>667055.17618426494</v>
      </c>
    </row>
    <row r="410" spans="1:5">
      <c r="A410">
        <v>46023</v>
      </c>
      <c r="C410">
        <v>634377.96748195204</v>
      </c>
      <c r="D410">
        <v>597397.56695236999</v>
      </c>
      <c r="E410">
        <v>671358.36801153503</v>
      </c>
    </row>
    <row r="411" spans="1:5">
      <c r="A411">
        <v>46054</v>
      </c>
      <c r="C411">
        <v>635444.46206227795</v>
      </c>
      <c r="D411">
        <v>595482.990384768</v>
      </c>
      <c r="E411">
        <v>675405.93373978802</v>
      </c>
    </row>
    <row r="412" spans="1:5">
      <c r="A412">
        <v>46082</v>
      </c>
      <c r="C412">
        <v>636510.95664260304</v>
      </c>
      <c r="D412">
        <v>593770.51265532896</v>
      </c>
      <c r="E412">
        <v>679251.400629877</v>
      </c>
    </row>
    <row r="413" spans="1:5">
      <c r="A413">
        <v>46113</v>
      </c>
      <c r="C413">
        <v>637577.45122292906</v>
      </c>
      <c r="D413">
        <v>592222.964353277</v>
      </c>
      <c r="E413">
        <v>682931.93809257995</v>
      </c>
    </row>
    <row r="414" spans="1:5">
      <c r="A414">
        <v>46143</v>
      </c>
      <c r="C414">
        <v>638643.94580325403</v>
      </c>
      <c r="D414">
        <v>590813.29188065894</v>
      </c>
      <c r="E414">
        <v>686474.599725849</v>
      </c>
    </row>
    <row r="415" spans="1:5">
      <c r="A415">
        <v>46174</v>
      </c>
      <c r="C415">
        <v>639710.440383579</v>
      </c>
      <c r="D415">
        <v>589521.079621754</v>
      </c>
      <c r="E415">
        <v>689899.80114540504</v>
      </c>
    </row>
    <row r="416" spans="1:5">
      <c r="A416">
        <v>46204</v>
      </c>
      <c r="C416">
        <v>640776.93496390502</v>
      </c>
      <c r="D416">
        <v>588330.47301123699</v>
      </c>
      <c r="E416">
        <v>693223.39691657305</v>
      </c>
    </row>
    <row r="417" spans="1:5">
      <c r="A417">
        <v>46235</v>
      </c>
      <c r="C417">
        <v>641843.42954422999</v>
      </c>
      <c r="D417">
        <v>587228.86900613399</v>
      </c>
      <c r="E417">
        <v>696457.990082326</v>
      </c>
    </row>
    <row r="418" spans="1:5">
      <c r="A418">
        <v>46266</v>
      </c>
      <c r="C418">
        <v>642909.92412455601</v>
      </c>
      <c r="D418">
        <v>586206.05350692302</v>
      </c>
      <c r="E418">
        <v>699613.79474218795</v>
      </c>
    </row>
    <row r="419" spans="1:5">
      <c r="A419">
        <v>46296</v>
      </c>
      <c r="C419">
        <v>643976.41870488098</v>
      </c>
      <c r="D419">
        <v>585253.61234143702</v>
      </c>
      <c r="E419">
        <v>702699.22506832494</v>
      </c>
    </row>
    <row r="420" spans="1:5">
      <c r="A420">
        <v>46327</v>
      </c>
      <c r="C420">
        <v>645042.913285207</v>
      </c>
      <c r="D420">
        <v>584364.51671450096</v>
      </c>
      <c r="E420">
        <v>705721.309855912</v>
      </c>
    </row>
    <row r="421" spans="1:5">
      <c r="A421">
        <v>46357</v>
      </c>
      <c r="C421">
        <v>646109.40786553198</v>
      </c>
      <c r="D421">
        <v>583532.82384489896</v>
      </c>
      <c r="E421">
        <v>708685.99188616499</v>
      </c>
    </row>
    <row r="422" spans="1:5">
      <c r="A422">
        <v>46388</v>
      </c>
      <c r="C422">
        <v>647175.90244585695</v>
      </c>
      <c r="D422">
        <v>582753.45593699196</v>
      </c>
      <c r="E422">
        <v>711598.34895472298</v>
      </c>
    </row>
    <row r="423" spans="1:5">
      <c r="A423">
        <v>46419</v>
      </c>
      <c r="C423">
        <v>648242.39702618297</v>
      </c>
      <c r="D423">
        <v>582022.03380631702</v>
      </c>
      <c r="E423">
        <v>714462.76024604798</v>
      </c>
    </row>
    <row r="424" spans="1:5">
      <c r="A424">
        <v>46447</v>
      </c>
      <c r="C424">
        <v>649308.89160650806</v>
      </c>
      <c r="D424">
        <v>581334.74949988397</v>
      </c>
      <c r="E424">
        <v>717283.03371313296</v>
      </c>
    </row>
    <row r="425" spans="1:5">
      <c r="A425">
        <v>46478</v>
      </c>
      <c r="C425">
        <v>650375.38618683396</v>
      </c>
      <c r="D425">
        <v>580688.26729273598</v>
      </c>
      <c r="E425">
        <v>720062.50508093205</v>
      </c>
    </row>
    <row r="426" spans="1:5">
      <c r="A426">
        <v>46508</v>
      </c>
      <c r="C426">
        <v>651441.88076715905</v>
      </c>
      <c r="D426">
        <v>580079.64569883398</v>
      </c>
      <c r="E426">
        <v>722804.115835484</v>
      </c>
    </row>
    <row r="427" spans="1:5">
      <c r="A427">
        <v>46539</v>
      </c>
      <c r="C427">
        <v>652508.37534748402</v>
      </c>
      <c r="D427">
        <v>579506.27529014205</v>
      </c>
      <c r="E427">
        <v>725510.47540482704</v>
      </c>
    </row>
    <row r="428" spans="1:5">
      <c r="A428">
        <v>46569</v>
      </c>
      <c r="C428">
        <v>653574.86992781004</v>
      </c>
      <c r="D428">
        <v>578965.82857653196</v>
      </c>
      <c r="E428">
        <v>728183.91127908695</v>
      </c>
    </row>
    <row r="429" spans="1:5">
      <c r="A429">
        <v>46600</v>
      </c>
      <c r="C429">
        <v>654641.36450813501</v>
      </c>
      <c r="D429">
        <v>578456.21920565295</v>
      </c>
      <c r="E429">
        <v>730826.50981061801</v>
      </c>
    </row>
    <row r="430" spans="1:5">
      <c r="A430">
        <v>46631</v>
      </c>
      <c r="C430">
        <v>655707.85908846103</v>
      </c>
      <c r="D430">
        <v>577975.56844883098</v>
      </c>
      <c r="E430">
        <v>733440.14972809004</v>
      </c>
    </row>
    <row r="431" spans="1:5">
      <c r="A431">
        <v>46661</v>
      </c>
      <c r="C431">
        <v>656774.353668786</v>
      </c>
      <c r="D431">
        <v>577522.17744366603</v>
      </c>
      <c r="E431">
        <v>736026.52989390597</v>
      </c>
    </row>
    <row r="432" spans="1:5">
      <c r="A432">
        <v>46692</v>
      </c>
      <c r="C432">
        <v>657840.84824911098</v>
      </c>
      <c r="D432">
        <v>577094.50402937795</v>
      </c>
      <c r="E432">
        <v>738587.19246884505</v>
      </c>
    </row>
    <row r="433" spans="1:5">
      <c r="A433">
        <v>46722</v>
      </c>
      <c r="C433">
        <v>658907.342829437</v>
      </c>
      <c r="D433">
        <v>576691.14327924699</v>
      </c>
      <c r="E433">
        <v>741123.542379627</v>
      </c>
    </row>
    <row r="434" spans="1:5">
      <c r="A434">
        <v>46753</v>
      </c>
      <c r="C434">
        <v>659973.83740976197</v>
      </c>
      <c r="D434">
        <v>576310.81103381095</v>
      </c>
      <c r="E434">
        <v>743636.86378571298</v>
      </c>
    </row>
    <row r="435" spans="1:5">
      <c r="A435">
        <v>46784</v>
      </c>
      <c r="C435">
        <v>661040.33199008799</v>
      </c>
      <c r="D435">
        <v>575952.32988837396</v>
      </c>
      <c r="E435">
        <v>746128.33409180096</v>
      </c>
    </row>
    <row r="436" spans="1:5">
      <c r="A436">
        <v>46813</v>
      </c>
      <c r="C436">
        <v>662106.82657041296</v>
      </c>
      <c r="D436">
        <v>575614.61720216204</v>
      </c>
      <c r="E436">
        <v>748599.03593866399</v>
      </c>
    </row>
    <row r="437" spans="1:5">
      <c r="A437">
        <v>46844</v>
      </c>
      <c r="C437">
        <v>663173.32115073898</v>
      </c>
      <c r="D437">
        <v>575296.67478383402</v>
      </c>
      <c r="E437">
        <v>751049.967517643</v>
      </c>
    </row>
    <row r="438" spans="1:5">
      <c r="A438">
        <v>46874</v>
      </c>
      <c r="C438">
        <v>664239.81573106395</v>
      </c>
      <c r="D438">
        <v>574997.57997562399</v>
      </c>
      <c r="E438">
        <v>753482.05148650298</v>
      </c>
    </row>
    <row r="439" spans="1:5">
      <c r="A439">
        <v>46905</v>
      </c>
      <c r="C439">
        <v>665306.31031138904</v>
      </c>
      <c r="D439">
        <v>574716.47791117895</v>
      </c>
      <c r="E439">
        <v>755896.14271159901</v>
      </c>
    </row>
    <row r="440" spans="1:5">
      <c r="A440">
        <v>46935</v>
      </c>
      <c r="C440">
        <v>666372.80489171494</v>
      </c>
      <c r="D440">
        <v>574452.57476368197</v>
      </c>
      <c r="E440">
        <v>758293.03501974698</v>
      </c>
    </row>
    <row r="441" spans="1:5">
      <c r="A441">
        <v>46966</v>
      </c>
      <c r="C441">
        <v>667439.29947204003</v>
      </c>
      <c r="D441">
        <v>574205.13183379301</v>
      </c>
      <c r="E441">
        <v>760673.46711028705</v>
      </c>
    </row>
    <row r="442" spans="1:5">
      <c r="A442">
        <v>46997</v>
      </c>
      <c r="C442">
        <v>668505.794052365</v>
      </c>
      <c r="D442">
        <v>573973.46035321499</v>
      </c>
      <c r="E442">
        <v>763038.12775151595</v>
      </c>
    </row>
    <row r="443" spans="1:5">
      <c r="A443">
        <v>47027</v>
      </c>
      <c r="C443">
        <v>669572.28863269102</v>
      </c>
      <c r="D443">
        <v>573756.91690083896</v>
      </c>
      <c r="E443">
        <v>765387.66036454297</v>
      </c>
    </row>
    <row r="444" spans="1:5">
      <c r="A444">
        <v>47058</v>
      </c>
      <c r="C444">
        <v>670638.78321301599</v>
      </c>
      <c r="D444">
        <v>573554.89934548805</v>
      </c>
      <c r="E444">
        <v>767722.66708054405</v>
      </c>
    </row>
    <row r="445" spans="1:5">
      <c r="A445">
        <v>47088</v>
      </c>
      <c r="C445">
        <v>671705.27779334201</v>
      </c>
      <c r="D445">
        <v>573366.84324321302</v>
      </c>
      <c r="E445">
        <v>770043.71234346996</v>
      </c>
    </row>
    <row r="446" spans="1:5">
      <c r="A446">
        <v>47119</v>
      </c>
      <c r="C446">
        <v>672771.77237366699</v>
      </c>
      <c r="D446">
        <v>573192.21862842306</v>
      </c>
      <c r="E446">
        <v>772351.32611891197</v>
      </c>
    </row>
    <row r="447" spans="1:5">
      <c r="A447">
        <v>47150</v>
      </c>
      <c r="C447">
        <v>673838.26695399301</v>
      </c>
      <c r="D447">
        <v>573030.52714751498</v>
      </c>
      <c r="E447">
        <v>774646.00676046999</v>
      </c>
    </row>
    <row r="448" spans="1:5">
      <c r="A448">
        <v>47178</v>
      </c>
      <c r="C448">
        <v>674904.76153431798</v>
      </c>
      <c r="D448">
        <v>572881.299491385</v>
      </c>
      <c r="E448">
        <v>776928.22357725096</v>
      </c>
    </row>
    <row r="449" spans="1:5">
      <c r="A449">
        <v>47209</v>
      </c>
      <c r="C449">
        <v>675971.25611464295</v>
      </c>
      <c r="D449">
        <v>572744.09308960405</v>
      </c>
      <c r="E449">
        <v>779198.41913968197</v>
      </c>
    </row>
    <row r="450" spans="1:5">
      <c r="A450">
        <v>47239</v>
      </c>
      <c r="C450">
        <v>677037.75069496897</v>
      </c>
      <c r="D450">
        <v>572618.49003441003</v>
      </c>
      <c r="E450">
        <v>781457.01135552803</v>
      </c>
    </row>
    <row r="451" spans="1:5">
      <c r="A451">
        <v>47270</v>
      </c>
      <c r="C451">
        <v>678104.24527529394</v>
      </c>
      <c r="D451">
        <v>572504.09520714602</v>
      </c>
      <c r="E451">
        <v>783704.39534344198</v>
      </c>
    </row>
    <row r="452" spans="1:5">
      <c r="A452">
        <v>47300</v>
      </c>
      <c r="C452">
        <v>679170.73985561996</v>
      </c>
      <c r="D452">
        <v>572400.53458354401</v>
      </c>
      <c r="E452">
        <v>785940.94512769603</v>
      </c>
    </row>
    <row r="453" spans="1:5">
      <c r="A453">
        <v>47331</v>
      </c>
      <c r="C453">
        <v>680237.23443594505</v>
      </c>
      <c r="D453">
        <v>572307.45369742101</v>
      </c>
      <c r="E453">
        <v>788167.01517446898</v>
      </c>
    </row>
    <row r="454" spans="1:5">
      <c r="A454">
        <v>47362</v>
      </c>
      <c r="C454">
        <v>681303.72901627002</v>
      </c>
      <c r="D454">
        <v>572224.51624509494</v>
      </c>
      <c r="E454">
        <v>790382.94178744603</v>
      </c>
    </row>
    <row r="455" spans="1:5">
      <c r="A455">
        <v>47392</v>
      </c>
      <c r="C455">
        <v>682370.22359659604</v>
      </c>
      <c r="D455">
        <v>572151.40281505999</v>
      </c>
      <c r="E455">
        <v>792589.04437813198</v>
      </c>
    </row>
    <row r="456" spans="1:5">
      <c r="A456">
        <v>47423</v>
      </c>
      <c r="C456">
        <v>683436.71817692101</v>
      </c>
      <c r="D456">
        <v>572087.80972948705</v>
      </c>
      <c r="E456">
        <v>794785.62662435498</v>
      </c>
    </row>
    <row r="457" spans="1:5">
      <c r="A457">
        <v>47453</v>
      </c>
      <c r="C457">
        <v>684503.21275724703</v>
      </c>
      <c r="D457">
        <v>572033.44798574003</v>
      </c>
      <c r="E457">
        <v>796972.97752875299</v>
      </c>
    </row>
    <row r="458" spans="1:5">
      <c r="A458">
        <v>47484</v>
      </c>
      <c r="C458">
        <v>685569.70733757201</v>
      </c>
      <c r="D458">
        <v>571988.04228756705</v>
      </c>
      <c r="E458">
        <v>799151.37238757696</v>
      </c>
    </row>
    <row r="459" spans="1:5">
      <c r="A459">
        <v>47515</v>
      </c>
      <c r="C459">
        <v>686636.20191789698</v>
      </c>
      <c r="D459">
        <v>571951.33015685796</v>
      </c>
      <c r="E459">
        <v>801321.07367893704</v>
      </c>
    </row>
    <row r="460" spans="1:5">
      <c r="A460">
        <v>47543</v>
      </c>
      <c r="C460">
        <v>687702.696498223</v>
      </c>
      <c r="D460">
        <v>571923.06111793802</v>
      </c>
      <c r="E460">
        <v>803482.33187850798</v>
      </c>
    </row>
    <row r="461" spans="1:5">
      <c r="A461">
        <v>47574</v>
      </c>
      <c r="C461">
        <v>688769.19107854797</v>
      </c>
      <c r="D461">
        <v>571902.99594728102</v>
      </c>
      <c r="E461">
        <v>805635.38620981504</v>
      </c>
    </row>
    <row r="462" spans="1:5">
      <c r="A462">
        <v>47604</v>
      </c>
      <c r="C462">
        <v>689835.68565887399</v>
      </c>
      <c r="D462">
        <v>571890.90598237002</v>
      </c>
      <c r="E462">
        <v>807780.46533537703</v>
      </c>
    </row>
    <row r="463" spans="1:5">
      <c r="A463">
        <v>47635</v>
      </c>
      <c r="C463">
        <v>690902.18023919896</v>
      </c>
      <c r="D463">
        <v>571886.57248407695</v>
      </c>
      <c r="E463">
        <v>809917.78799432202</v>
      </c>
    </row>
    <row r="464" spans="1:5">
      <c r="A464">
        <v>47665</v>
      </c>
      <c r="C464">
        <v>691968.67481952498</v>
      </c>
      <c r="D464">
        <v>571889.78604761697</v>
      </c>
      <c r="E464">
        <v>812047.56359143194</v>
      </c>
    </row>
    <row r="465" spans="1:5">
      <c r="A465">
        <v>47696</v>
      </c>
      <c r="C465">
        <v>693035.16939984995</v>
      </c>
      <c r="D465">
        <v>571900.34605761501</v>
      </c>
      <c r="E465">
        <v>814169.99274208501</v>
      </c>
    </row>
    <row r="466" spans="1:5">
      <c r="A466">
        <v>47727</v>
      </c>
      <c r="C466">
        <v>694101.66398017504</v>
      </c>
      <c r="D466">
        <v>571918.06018332206</v>
      </c>
      <c r="E466">
        <v>816285.26777702896</v>
      </c>
    </row>
    <row r="467" spans="1:5">
      <c r="A467">
        <v>47757</v>
      </c>
      <c r="C467">
        <v>695168.15856050095</v>
      </c>
      <c r="D467">
        <v>571942.74391042697</v>
      </c>
      <c r="E467">
        <v>818393.57321057399</v>
      </c>
    </row>
    <row r="468" spans="1:5">
      <c r="A468">
        <v>47788</v>
      </c>
      <c r="C468">
        <v>696234.65314082603</v>
      </c>
      <c r="D468">
        <v>571974.22010627994</v>
      </c>
      <c r="E468">
        <v>820495.08617537201</v>
      </c>
    </row>
    <row r="469" spans="1:5">
      <c r="A469">
        <v>47818</v>
      </c>
      <c r="C469">
        <v>697301.14772115101</v>
      </c>
      <c r="D469">
        <v>572012.31861564703</v>
      </c>
      <c r="E469">
        <v>822589.97682665603</v>
      </c>
    </row>
    <row r="470" spans="1:5">
      <c r="A470">
        <v>47849</v>
      </c>
      <c r="C470">
        <v>698367.64230147703</v>
      </c>
      <c r="D470">
        <v>572056.87588444201</v>
      </c>
      <c r="E470">
        <v>824678.40871851204</v>
      </c>
    </row>
    <row r="471" spans="1:5">
      <c r="A471">
        <v>47880</v>
      </c>
      <c r="C471">
        <v>699434.136881802</v>
      </c>
      <c r="D471">
        <v>572107.73460908094</v>
      </c>
      <c r="E471">
        <v>826760.53915452305</v>
      </c>
    </row>
    <row r="472" spans="1:5">
      <c r="A472">
        <v>47908</v>
      </c>
      <c r="C472">
        <v>700500.63146212802</v>
      </c>
      <c r="D472">
        <v>572164.74340938195</v>
      </c>
      <c r="E472">
        <v>828836.51951487304</v>
      </c>
    </row>
    <row r="473" spans="1:5">
      <c r="A473">
        <v>47939</v>
      </c>
      <c r="C473">
        <v>701567.12604245299</v>
      </c>
      <c r="D473">
        <v>572227.75652309495</v>
      </c>
      <c r="E473">
        <v>830906.49556181196</v>
      </c>
    </row>
    <row r="474" spans="1:5">
      <c r="A474">
        <v>47969</v>
      </c>
      <c r="C474">
        <v>702633.62062277901</v>
      </c>
      <c r="D474">
        <v>572296.63352034299</v>
      </c>
      <c r="E474">
        <v>832970.60772521398</v>
      </c>
    </row>
    <row r="475" spans="1:5">
      <c r="A475">
        <v>48000</v>
      </c>
      <c r="C475">
        <v>703700.11520310398</v>
      </c>
      <c r="D475">
        <v>572371.23903642595</v>
      </c>
      <c r="E475">
        <v>835028.99136978202</v>
      </c>
    </row>
    <row r="476" spans="1:5">
      <c r="A476">
        <v>48030</v>
      </c>
      <c r="C476">
        <v>704766.60978342895</v>
      </c>
      <c r="D476">
        <v>572451.442521538</v>
      </c>
      <c r="E476">
        <v>837081.77704532095</v>
      </c>
    </row>
    <row r="477" spans="1:5">
      <c r="A477">
        <v>48061</v>
      </c>
      <c r="C477">
        <v>705833.10436375497</v>
      </c>
      <c r="D477">
        <v>572537.11800613697</v>
      </c>
      <c r="E477">
        <v>839129.09072137205</v>
      </c>
    </row>
    <row r="478" spans="1:5">
      <c r="A478">
        <v>48092</v>
      </c>
      <c r="C478">
        <v>706899.59894407995</v>
      </c>
      <c r="D478">
        <v>572628.14388077904</v>
      </c>
      <c r="E478">
        <v>841171.05400738097</v>
      </c>
    </row>
    <row r="479" spans="1:5">
      <c r="A479">
        <v>48122</v>
      </c>
      <c r="C479">
        <v>707966.09352440597</v>
      </c>
      <c r="D479">
        <v>572724.40268932795</v>
      </c>
      <c r="E479">
        <v>843207.78435948305</v>
      </c>
    </row>
    <row r="480" spans="1:5">
      <c r="A480">
        <v>48153</v>
      </c>
      <c r="C480">
        <v>709032.58810473105</v>
      </c>
      <c r="D480">
        <v>572825.78093458805</v>
      </c>
      <c r="E480">
        <v>845239.39527487406</v>
      </c>
    </row>
    <row r="481" spans="1:5">
      <c r="A481">
        <v>48183</v>
      </c>
      <c r="C481">
        <v>710099.08268505603</v>
      </c>
      <c r="D481">
        <v>572932.16889544099</v>
      </c>
      <c r="E481">
        <v>847265.99647467094</v>
      </c>
    </row>
    <row r="482" spans="1:5">
      <c r="A482">
        <v>48214</v>
      </c>
      <c r="C482">
        <v>711165.57726538205</v>
      </c>
      <c r="D482">
        <v>573043.46045467397</v>
      </c>
      <c r="E482">
        <v>849287.69407608896</v>
      </c>
    </row>
    <row r="483" spans="1:5">
      <c r="A483">
        <v>48245</v>
      </c>
      <c r="C483">
        <v>712232.07184570702</v>
      </c>
      <c r="D483">
        <v>573159.55293674394</v>
      </c>
      <c r="E483">
        <v>851304.59075466997</v>
      </c>
    </row>
    <row r="484" spans="1:5">
      <c r="A484">
        <v>48274</v>
      </c>
      <c r="C484">
        <v>713298.56642603304</v>
      </c>
      <c r="D484">
        <v>573280.34695478796</v>
      </c>
      <c r="E484">
        <v>853316.78589727799</v>
      </c>
    </row>
    <row r="485" spans="1:5">
      <c r="A485">
        <v>48305</v>
      </c>
      <c r="C485">
        <v>714365.06100635801</v>
      </c>
      <c r="D485">
        <v>573405.74626624398</v>
      </c>
      <c r="E485">
        <v>855324.37574647204</v>
      </c>
    </row>
    <row r="486" spans="1:5">
      <c r="A486">
        <v>48335</v>
      </c>
      <c r="C486">
        <v>715431.55558668298</v>
      </c>
      <c r="D486">
        <v>573535.65763649996</v>
      </c>
      <c r="E486">
        <v>857327.45353686705</v>
      </c>
    </row>
    <row r="487" spans="1:5">
      <c r="A487">
        <v>48366</v>
      </c>
      <c r="C487">
        <v>716498.050167009</v>
      </c>
      <c r="D487">
        <v>573669.99071002798</v>
      </c>
      <c r="E487">
        <v>859326.10962399002</v>
      </c>
    </row>
    <row r="488" spans="1:5">
      <c r="A488">
        <v>48396</v>
      </c>
      <c r="C488">
        <v>717564.54474733397</v>
      </c>
      <c r="D488">
        <v>573808.65788851003</v>
      </c>
      <c r="E488">
        <v>861320.43160615803</v>
      </c>
    </row>
    <row r="489" spans="1:5">
      <c r="A489">
        <v>48427</v>
      </c>
      <c r="C489">
        <v>718631.03932765999</v>
      </c>
      <c r="D489">
        <v>573951.57421550294</v>
      </c>
      <c r="E489">
        <v>863310.504439816</v>
      </c>
    </row>
    <row r="490" spans="1:5">
      <c r="A490">
        <v>48458</v>
      </c>
      <c r="C490">
        <v>719697.53390798497</v>
      </c>
      <c r="D490">
        <v>574098.65726721101</v>
      </c>
      <c r="E490">
        <v>865296.41054875904</v>
      </c>
    </row>
    <row r="491" spans="1:5">
      <c r="A491">
        <v>48488</v>
      </c>
      <c r="C491">
        <v>720764.02848831099</v>
      </c>
      <c r="D491">
        <v>574249.82704898203</v>
      </c>
      <c r="E491">
        <v>867278.22992763901</v>
      </c>
    </row>
    <row r="492" spans="1:5">
      <c r="A492">
        <v>48519</v>
      </c>
      <c r="C492">
        <v>721830.52306863596</v>
      </c>
      <c r="D492">
        <v>574405.00589716097</v>
      </c>
      <c r="E492">
        <v>869256.04024011095</v>
      </c>
    </row>
    <row r="493" spans="1:5">
      <c r="A493">
        <v>48549</v>
      </c>
      <c r="C493">
        <v>722897.01764896105</v>
      </c>
      <c r="D493">
        <v>574564.11838597397</v>
      </c>
      <c r="E493">
        <v>871229.91691194801</v>
      </c>
    </row>
    <row r="494" spans="1:5">
      <c r="A494">
        <v>48580</v>
      </c>
      <c r="C494">
        <v>723963.51222928695</v>
      </c>
      <c r="D494">
        <v>574727.09123911895</v>
      </c>
      <c r="E494">
        <v>873199.93321945495</v>
      </c>
    </row>
    <row r="495" spans="1:5">
      <c r="A495">
        <v>48611</v>
      </c>
      <c r="C495">
        <v>725030.00680961204</v>
      </c>
      <c r="D495">
        <v>574893.85324578697</v>
      </c>
      <c r="E495">
        <v>875166.16037343803</v>
      </c>
    </row>
    <row r="496" spans="1:5">
      <c r="A496">
        <v>48639</v>
      </c>
      <c r="C496">
        <v>726096.50138993701</v>
      </c>
      <c r="D496">
        <v>575064.33518084197</v>
      </c>
      <c r="E496">
        <v>877128.66759903298</v>
      </c>
    </row>
    <row r="497" spans="1:5">
      <c r="A497">
        <v>48670</v>
      </c>
      <c r="C497">
        <v>727162.99597026303</v>
      </c>
      <c r="D497">
        <v>575238.46972891199</v>
      </c>
      <c r="E497">
        <v>879087.52221161302</v>
      </c>
    </row>
    <row r="498" spans="1:5">
      <c r="A498">
        <v>48700</v>
      </c>
      <c r="C498">
        <v>728229.490550588</v>
      </c>
      <c r="D498">
        <v>575416.19141215703</v>
      </c>
      <c r="E498">
        <v>881042.78968902002</v>
      </c>
    </row>
    <row r="499" spans="1:5">
      <c r="A499">
        <v>48731</v>
      </c>
      <c r="C499">
        <v>729295.98513091402</v>
      </c>
      <c r="D499">
        <v>575597.43652149802</v>
      </c>
      <c r="E499">
        <v>882994.53374033002</v>
      </c>
    </row>
    <row r="500" spans="1:5">
      <c r="A500">
        <v>48761</v>
      </c>
      <c r="C500">
        <v>730362.47971123899</v>
      </c>
      <c r="D500">
        <v>575782.14305111603</v>
      </c>
      <c r="E500">
        <v>884942.81637136301</v>
      </c>
    </row>
    <row r="501" spans="1:5">
      <c r="A501">
        <v>48792</v>
      </c>
      <c r="C501">
        <v>731428.97429156501</v>
      </c>
      <c r="D501">
        <v>575970.25063602196</v>
      </c>
      <c r="E501">
        <v>886887.69794710702</v>
      </c>
    </row>
    <row r="502" spans="1:5">
      <c r="A502">
        <v>48823</v>
      </c>
      <c r="C502">
        <v>732495.46887188999</v>
      </c>
      <c r="D502">
        <v>576161.70049253094</v>
      </c>
      <c r="E502">
        <v>888829.23725124903</v>
      </c>
    </row>
    <row r="503" spans="1:5">
      <c r="A503">
        <v>48853</v>
      </c>
      <c r="C503">
        <v>733561.96345221496</v>
      </c>
      <c r="D503">
        <v>576356.43536147103</v>
      </c>
      <c r="E503">
        <v>890767.49154296005</v>
      </c>
    </row>
    <row r="504" spans="1:5">
      <c r="A504">
        <v>48884</v>
      </c>
      <c r="C504">
        <v>734628.45803254098</v>
      </c>
      <c r="D504">
        <v>576554.39945398399</v>
      </c>
      <c r="E504">
        <v>892702.51661109703</v>
      </c>
    </row>
    <row r="505" spans="1:5">
      <c r="A505">
        <v>48914</v>
      </c>
      <c r="C505">
        <v>735694.95261286595</v>
      </c>
      <c r="D505">
        <v>576755.53839976795</v>
      </c>
      <c r="E505">
        <v>894634.36682596395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3E963D58EE048A173609C99C2C34B" ma:contentTypeVersion="14" ma:contentTypeDescription="Create a new document." ma:contentTypeScope="" ma:versionID="2e30ff6e27337fa89062b6351cca361c">
  <xsd:schema xmlns:xsd="http://www.w3.org/2001/XMLSchema" xmlns:xs="http://www.w3.org/2001/XMLSchema" xmlns:p="http://schemas.microsoft.com/office/2006/metadata/properties" xmlns:ns3="133ebd6d-8096-4996-833b-e1d6383f00e0" xmlns:ns4="c6f08c7f-443a-4f06-a842-4568deba60f1" targetNamespace="http://schemas.microsoft.com/office/2006/metadata/properties" ma:root="true" ma:fieldsID="56d883b9ffc8834a7420d01d9d6712ec" ns3:_="" ns4:_="">
    <xsd:import namespace="133ebd6d-8096-4996-833b-e1d6383f00e0"/>
    <xsd:import namespace="c6f08c7f-443a-4f06-a842-4568deba60f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3ebd6d-8096-4996-833b-e1d6383f00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f08c7f-443a-4f06-a842-4568deba60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33ebd6d-8096-4996-833b-e1d6383f00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8DE7D-9C79-48FE-820A-AA36306DD0AD}"/>
</file>

<file path=customXml/itemProps2.xml><?xml version="1.0" encoding="utf-8"?>
<ds:datastoreItem xmlns:ds="http://schemas.openxmlformats.org/officeDocument/2006/customXml" ds:itemID="{3D5CABB2-9ACA-491F-BDBA-F8EC7E1061A5}"/>
</file>

<file path=customXml/itemProps3.xml><?xml version="1.0" encoding="utf-8"?>
<ds:datastoreItem xmlns:ds="http://schemas.openxmlformats.org/officeDocument/2006/customXml" ds:itemID="{D9A333CB-D6C3-40EA-8BF0-7D8AFD47F9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Andersen</dc:creator>
  <cp:keywords/>
  <dc:description/>
  <cp:lastModifiedBy/>
  <cp:revision>1</cp:revision>
  <dcterms:created xsi:type="dcterms:W3CDTF">2026-04-05T13:15:15Z</dcterms:created>
  <dcterms:modified xsi:type="dcterms:W3CDTF">2026-10-07T14:18:31Z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0x010100D253E963D58EE048A173609C99C2C34B</vt:lpwstr>
  </property>
</Properties>
</file>